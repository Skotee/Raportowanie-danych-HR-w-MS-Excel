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ex\Documents\Prywatne\CV\"/>
    </mc:Choice>
  </mc:AlternateContent>
  <xr:revisionPtr revIDLastSave="0" documentId="8_{7325D261-6078-4AEC-8CB6-9F9B1A5A8B56}" xr6:coauthVersionLast="47" xr6:coauthVersionMax="47" xr10:uidLastSave="{00000000-0000-0000-0000-000000000000}"/>
  <bookViews>
    <workbookView xWindow="14220" yWindow="-18180" windowWidth="29040" windowHeight="17520" firstSheet="7" activeTab="10" xr2:uid="{27E1163F-C990-4CC3-9034-5B1F1552A9DF}"/>
  </bookViews>
  <sheets>
    <sheet name="O projekcie" sheetId="1" r:id="rId1"/>
    <sheet name="Arkusz2" sheetId="9" r:id="rId2"/>
    <sheet name="Arkusz3" sheetId="10" r:id="rId3"/>
    <sheet name="Arkusz4" sheetId="11" r:id="rId4"/>
    <sheet name="Dashboard" sheetId="2" r:id="rId5"/>
    <sheet name="Parametry" sheetId="3" r:id="rId6"/>
    <sheet name="Dane_Kadrowe" sheetId="4" r:id="rId7"/>
    <sheet name="Kontrola_Jakości" sheetId="5" r:id="rId8"/>
    <sheet name="Koszty_Pracy" sheetId="6" r:id="rId9"/>
    <sheet name="Przegląd_Wynagrodzeń" sheetId="7" r:id="rId10"/>
    <sheet name="Budżet_2027" sheetId="8" r:id="rId11"/>
  </sheets>
  <definedNames>
    <definedName name="dFiltr">Dashboard!$M$4</definedName>
    <definedName name="lstDzialy">Parametry!$C$31:$C$35</definedName>
    <definedName name="lstFiltr">Parametry!$E$31:$E$35</definedName>
    <definedName name="lstPlacowki">Parametry!$A$31:$A$34</definedName>
    <definedName name="pDataRaportu">Parametry!$B$5</definedName>
    <definedName name="pNarzut">Parametry!$B$16</definedName>
    <definedName name="pPlacaMin">Parametry!$B$6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7" i="2" l="1"/>
  <c r="B2" i="2"/>
  <c r="A2" i="6"/>
  <c r="C50" i="2"/>
  <c r="K42" i="2"/>
  <c r="K43" i="2"/>
  <c r="K44" i="2"/>
  <c r="K45" i="2"/>
  <c r="K46" i="2"/>
  <c r="K47" i="2"/>
  <c r="K48" i="2"/>
  <c r="K49" i="2"/>
  <c r="K50" i="2"/>
  <c r="K51" i="2"/>
  <c r="K52" i="2"/>
  <c r="K53" i="2"/>
  <c r="B42" i="2"/>
  <c r="B43" i="2"/>
  <c r="B44" i="2"/>
  <c r="B45" i="2"/>
  <c r="B46" i="2"/>
  <c r="M4" i="2"/>
  <c r="E32" i="3"/>
  <c r="E33" i="3"/>
  <c r="E34" i="3"/>
  <c r="E35" i="3"/>
  <c r="A17" i="8"/>
  <c r="A18" i="8"/>
  <c r="A19" i="8"/>
  <c r="A20" i="8"/>
  <c r="A21" i="8"/>
  <c r="E23" i="8"/>
  <c r="A6" i="8"/>
  <c r="C6" i="8"/>
  <c r="A7" i="8"/>
  <c r="C7" i="8"/>
  <c r="A8" i="8"/>
  <c r="C8" i="8"/>
  <c r="E8" i="8"/>
  <c r="A9" i="8"/>
  <c r="A10" i="8"/>
  <c r="F10" i="8"/>
  <c r="G10" i="8"/>
  <c r="B13" i="8"/>
  <c r="C13" i="8"/>
  <c r="D13" i="8"/>
  <c r="E13" i="8"/>
  <c r="F13" i="8"/>
  <c r="G13" i="8"/>
  <c r="B5" i="8"/>
  <c r="C5" i="8"/>
  <c r="D5" i="8"/>
  <c r="E5" i="8"/>
  <c r="F5" i="8"/>
  <c r="G5" i="8"/>
  <c r="A1" i="8"/>
  <c r="A6" i="7"/>
  <c r="A7" i="7"/>
  <c r="A8" i="7"/>
  <c r="A9" i="7"/>
  <c r="A10" i="7"/>
  <c r="B10" i="7"/>
  <c r="C10" i="7"/>
  <c r="A11" i="7"/>
  <c r="B11" i="7"/>
  <c r="C11" i="7"/>
  <c r="M12" i="7"/>
  <c r="A26" i="6"/>
  <c r="B26" i="6"/>
  <c r="A27" i="6"/>
  <c r="B27" i="6"/>
  <c r="A28" i="6"/>
  <c r="B28" i="6"/>
  <c r="A29" i="6"/>
  <c r="B29" i="6"/>
  <c r="A30" i="6"/>
  <c r="B30" i="6"/>
  <c r="A31" i="6"/>
  <c r="B31" i="6"/>
  <c r="B32" i="6"/>
  <c r="A15" i="6"/>
  <c r="A16" i="6"/>
  <c r="A17" i="6"/>
  <c r="A18" i="6"/>
  <c r="B14" i="6"/>
  <c r="C14" i="6"/>
  <c r="D14" i="6"/>
  <c r="E14" i="6"/>
  <c r="F14" i="6"/>
  <c r="A6" i="6"/>
  <c r="A7" i="6"/>
  <c r="A8" i="6"/>
  <c r="A9" i="6"/>
  <c r="C17" i="5"/>
  <c r="S154" i="4"/>
  <c r="S122" i="4"/>
  <c r="S68" i="4"/>
  <c r="S49" i="4"/>
  <c r="S135" i="4"/>
  <c r="S173" i="4"/>
  <c r="S57" i="4"/>
  <c r="S11" i="4"/>
  <c r="S184" i="4"/>
  <c r="S136" i="4"/>
  <c r="S6" i="4"/>
  <c r="S90" i="4"/>
  <c r="S123" i="4"/>
  <c r="S163" i="4"/>
  <c r="S56" i="4"/>
  <c r="S61" i="4"/>
  <c r="S9" i="4"/>
  <c r="S145" i="4"/>
  <c r="S119" i="4"/>
  <c r="S99" i="4"/>
  <c r="S46" i="4"/>
  <c r="S117" i="4"/>
  <c r="S107" i="4"/>
  <c r="S73" i="4"/>
  <c r="S109" i="4"/>
  <c r="S17" i="4"/>
  <c r="S28" i="4"/>
  <c r="S97" i="4"/>
  <c r="S132" i="4"/>
  <c r="S32" i="4"/>
  <c r="S58" i="4"/>
  <c r="S186" i="4"/>
  <c r="S75" i="4"/>
  <c r="S14" i="4"/>
  <c r="S35" i="4"/>
  <c r="S141" i="4"/>
  <c r="S26" i="4"/>
  <c r="S84" i="4"/>
  <c r="S153" i="4"/>
  <c r="S169" i="4"/>
  <c r="S182" i="4"/>
  <c r="S21" i="4"/>
  <c r="S104" i="4"/>
  <c r="S66" i="4"/>
  <c r="S165" i="4"/>
  <c r="S40" i="4"/>
  <c r="S160" i="4"/>
  <c r="S42" i="4"/>
  <c r="S161" i="4"/>
  <c r="S82" i="4"/>
  <c r="S80" i="4"/>
  <c r="S98" i="4"/>
  <c r="S79" i="4"/>
  <c r="S72" i="4"/>
  <c r="S115" i="4"/>
  <c r="S106" i="4"/>
  <c r="S108" i="4"/>
  <c r="S63" i="4"/>
  <c r="S19" i="4"/>
  <c r="S144" i="4"/>
  <c r="S53" i="4"/>
  <c r="S22" i="4"/>
  <c r="S127" i="4"/>
  <c r="S143" i="4"/>
  <c r="S120" i="4"/>
  <c r="S78" i="4"/>
  <c r="S134" i="4"/>
  <c r="S176" i="4"/>
  <c r="S125" i="4"/>
  <c r="S41" i="4"/>
  <c r="S138" i="4"/>
  <c r="S36" i="4"/>
  <c r="S23" i="4"/>
  <c r="S7" i="4"/>
  <c r="S47" i="4"/>
  <c r="S18" i="4"/>
  <c r="S101" i="4"/>
  <c r="S116" i="4"/>
  <c r="S34" i="4"/>
  <c r="S95" i="4"/>
  <c r="S166" i="4"/>
  <c r="S25" i="4"/>
  <c r="S167" i="4"/>
  <c r="S93" i="4"/>
  <c r="S74" i="4"/>
  <c r="S111" i="4"/>
  <c r="S185" i="4"/>
  <c r="S137" i="4"/>
  <c r="S59" i="4"/>
  <c r="S121" i="4"/>
  <c r="S10" i="4"/>
  <c r="S102" i="4"/>
  <c r="S65" i="4"/>
  <c r="S37" i="4"/>
  <c r="S88" i="4"/>
  <c r="S38" i="4"/>
  <c r="S164" i="4"/>
  <c r="S24" i="4"/>
  <c r="S31" i="4"/>
  <c r="S50" i="4"/>
  <c r="S27" i="4"/>
  <c r="S114" i="4"/>
  <c r="S94" i="4"/>
  <c r="S146" i="4"/>
  <c r="S177" i="4"/>
  <c r="S29" i="4"/>
  <c r="S152" i="4"/>
  <c r="S149" i="4"/>
  <c r="S112" i="4"/>
  <c r="S4" i="4"/>
  <c r="S92" i="4"/>
  <c r="S8" i="4"/>
  <c r="S124" i="4"/>
  <c r="S83" i="4"/>
  <c r="S39" i="4"/>
  <c r="S30" i="4"/>
  <c r="S81" i="4"/>
  <c r="S105" i="4"/>
  <c r="S126" i="4"/>
  <c r="S113" i="4"/>
  <c r="S33" i="4"/>
  <c r="S131" i="4"/>
  <c r="S48" i="4"/>
  <c r="S5" i="4"/>
  <c r="S148" i="4"/>
  <c r="S175" i="4"/>
  <c r="S151" i="4"/>
  <c r="S158" i="4"/>
  <c r="S91" i="4"/>
  <c r="S15" i="4"/>
  <c r="S174" i="4"/>
  <c r="S129" i="4"/>
  <c r="S85" i="4"/>
  <c r="S77" i="4"/>
  <c r="S179" i="4"/>
  <c r="S100" i="4"/>
  <c r="S180" i="4"/>
  <c r="S168" i="4"/>
  <c r="S162" i="4"/>
  <c r="S87" i="4"/>
  <c r="S110" i="4"/>
  <c r="S51" i="4"/>
  <c r="S69" i="4"/>
  <c r="S178" i="4"/>
  <c r="S52" i="4"/>
  <c r="S118" i="4"/>
  <c r="S86" i="4"/>
  <c r="S183" i="4"/>
  <c r="S128" i="4"/>
  <c r="S55" i="4"/>
  <c r="S103" i="4"/>
  <c r="S44" i="4"/>
  <c r="S147" i="4"/>
  <c r="S150" i="4"/>
  <c r="S43" i="4"/>
  <c r="S140" i="4"/>
  <c r="S170" i="4"/>
  <c r="S181" i="4"/>
  <c r="S16" i="4"/>
  <c r="S130" i="4"/>
  <c r="S142" i="4"/>
  <c r="S64" i="4"/>
  <c r="S45" i="4"/>
  <c r="S89" i="4"/>
  <c r="S60" i="4"/>
  <c r="S62" i="4"/>
  <c r="S156" i="4"/>
  <c r="S70" i="4"/>
  <c r="S157" i="4"/>
  <c r="S54" i="4"/>
  <c r="S71" i="4"/>
  <c r="S159" i="4"/>
  <c r="S20" i="4"/>
  <c r="S171" i="4"/>
  <c r="S13" i="4"/>
  <c r="S12" i="4"/>
  <c r="S67" i="4"/>
  <c r="S76" i="4"/>
  <c r="Q154" i="4"/>
  <c r="Q122" i="4"/>
  <c r="Q68" i="4"/>
  <c r="Q49" i="4"/>
  <c r="Q135" i="4"/>
  <c r="Q173" i="4"/>
  <c r="Q57" i="4"/>
  <c r="Q11" i="4"/>
  <c r="Q184" i="4"/>
  <c r="Q136" i="4"/>
  <c r="Q6" i="4"/>
  <c r="Q90" i="4"/>
  <c r="Q123" i="4"/>
  <c r="Q163" i="4"/>
  <c r="Q56" i="4"/>
  <c r="Q61" i="4"/>
  <c r="Q9" i="4"/>
  <c r="Q145" i="4"/>
  <c r="Q119" i="4"/>
  <c r="Q99" i="4"/>
  <c r="Q46" i="4"/>
  <c r="Q117" i="4"/>
  <c r="Q107" i="4"/>
  <c r="Q73" i="4"/>
  <c r="Q109" i="4"/>
  <c r="Q17" i="4"/>
  <c r="Q28" i="4"/>
  <c r="Q97" i="4"/>
  <c r="Q132" i="4"/>
  <c r="Q32" i="4"/>
  <c r="Q58" i="4"/>
  <c r="Q186" i="4"/>
  <c r="Q75" i="4"/>
  <c r="Q14" i="4"/>
  <c r="Q96" i="4"/>
  <c r="Q35" i="4"/>
  <c r="Q141" i="4"/>
  <c r="Q26" i="4"/>
  <c r="Q84" i="4"/>
  <c r="Q153" i="4"/>
  <c r="Q169" i="4"/>
  <c r="Q182" i="4"/>
  <c r="Q21" i="4"/>
  <c r="Q104" i="4"/>
  <c r="Q187" i="4"/>
  <c r="Q66" i="4"/>
  <c r="Q165" i="4"/>
  <c r="Q40" i="4"/>
  <c r="Q160" i="4"/>
  <c r="Q42" i="4"/>
  <c r="Q161" i="4"/>
  <c r="Q82" i="4"/>
  <c r="Q80" i="4"/>
  <c r="Q98" i="4"/>
  <c r="Q79" i="4"/>
  <c r="Q72" i="4"/>
  <c r="Q115" i="4"/>
  <c r="Q106" i="4"/>
  <c r="Q108" i="4"/>
  <c r="Q63" i="4"/>
  <c r="Q19" i="4"/>
  <c r="Q144" i="4"/>
  <c r="Q53" i="4"/>
  <c r="Q22" i="4"/>
  <c r="Q127" i="4"/>
  <c r="Q143" i="4"/>
  <c r="Q120" i="4"/>
  <c r="Q78" i="4"/>
  <c r="Q134" i="4"/>
  <c r="Q176" i="4"/>
  <c r="Q125" i="4"/>
  <c r="Q41" i="4"/>
  <c r="Q138" i="4"/>
  <c r="Q36" i="4"/>
  <c r="Q23" i="4"/>
  <c r="Q7" i="4"/>
  <c r="Q47" i="4"/>
  <c r="Q18" i="4"/>
  <c r="Q101" i="4"/>
  <c r="Q116" i="4"/>
  <c r="Q34" i="4"/>
  <c r="Q95" i="4"/>
  <c r="Q166" i="4"/>
  <c r="Q25" i="4"/>
  <c r="Q167" i="4"/>
  <c r="Q93" i="4"/>
  <c r="Q74" i="4"/>
  <c r="Q111" i="4"/>
  <c r="Q185" i="4"/>
  <c r="Q137" i="4"/>
  <c r="Q59" i="4"/>
  <c r="Q121" i="4"/>
  <c r="Q10" i="4"/>
  <c r="Q102" i="4"/>
  <c r="Q65" i="4"/>
  <c r="Q37" i="4"/>
  <c r="Q88" i="4"/>
  <c r="Q38" i="4"/>
  <c r="Q164" i="4"/>
  <c r="Q24" i="4"/>
  <c r="Q31" i="4"/>
  <c r="Q50" i="4"/>
  <c r="Q27" i="4"/>
  <c r="Q114" i="4"/>
  <c r="Q94" i="4"/>
  <c r="Q146" i="4"/>
  <c r="Q177" i="4"/>
  <c r="Q29" i="4"/>
  <c r="Q152" i="4"/>
  <c r="Q149" i="4"/>
  <c r="Q112" i="4"/>
  <c r="Q4" i="4"/>
  <c r="Q92" i="4"/>
  <c r="Q8" i="4"/>
  <c r="Q124" i="4"/>
  <c r="Q83" i="4"/>
  <c r="Q39" i="4"/>
  <c r="Q30" i="4"/>
  <c r="Q81" i="4"/>
  <c r="Q105" i="4"/>
  <c r="Q126" i="4"/>
  <c r="Q113" i="4"/>
  <c r="Q33" i="4"/>
  <c r="Q131" i="4"/>
  <c r="Q48" i="4"/>
  <c r="Q5" i="4"/>
  <c r="Q148" i="4"/>
  <c r="Q175" i="4"/>
  <c r="Q151" i="4"/>
  <c r="Q158" i="4"/>
  <c r="Q91" i="4"/>
  <c r="V91" i="4" s="1"/>
  <c r="Q15" i="4"/>
  <c r="V15" i="4" s="1"/>
  <c r="Q174" i="4"/>
  <c r="V174" i="4" s="1"/>
  <c r="Q129" i="4"/>
  <c r="V129" i="4" s="1"/>
  <c r="Q85" i="4"/>
  <c r="V85" i="4" s="1"/>
  <c r="Q77" i="4"/>
  <c r="V77" i="4" s="1"/>
  <c r="Q179" i="4"/>
  <c r="V179" i="4" s="1"/>
  <c r="Q100" i="4"/>
  <c r="V100" i="4" s="1"/>
  <c r="Q180" i="4"/>
  <c r="V180" i="4" s="1"/>
  <c r="Q168" i="4"/>
  <c r="V168" i="4" s="1"/>
  <c r="Q162" i="4"/>
  <c r="V162" i="4" s="1"/>
  <c r="Q87" i="4"/>
  <c r="V87" i="4" s="1"/>
  <c r="Q110" i="4"/>
  <c r="V110" i="4" s="1"/>
  <c r="Q51" i="4"/>
  <c r="V51" i="4" s="1"/>
  <c r="Q69" i="4"/>
  <c r="V69" i="4" s="1"/>
  <c r="Q178" i="4"/>
  <c r="V178" i="4" s="1"/>
  <c r="Q52" i="4"/>
  <c r="V52" i="4" s="1"/>
  <c r="Q118" i="4"/>
  <c r="V118" i="4" s="1"/>
  <c r="Q86" i="4"/>
  <c r="V86" i="4" s="1"/>
  <c r="Q183" i="4"/>
  <c r="V183" i="4" s="1"/>
  <c r="Q128" i="4"/>
  <c r="V128" i="4" s="1"/>
  <c r="Q55" i="4"/>
  <c r="Q103" i="4"/>
  <c r="Q44" i="4"/>
  <c r="V44" i="4" s="1"/>
  <c r="Q147" i="4"/>
  <c r="V147" i="4" s="1"/>
  <c r="Q133" i="4"/>
  <c r="Q150" i="4"/>
  <c r="Q43" i="4"/>
  <c r="Q140" i="4"/>
  <c r="Q170" i="4"/>
  <c r="Q181" i="4"/>
  <c r="Q16" i="4"/>
  <c r="Q130" i="4"/>
  <c r="Q142" i="4"/>
  <c r="Q64" i="4"/>
  <c r="Q45" i="4"/>
  <c r="Q89" i="4"/>
  <c r="Q60" i="4"/>
  <c r="Q62" i="4"/>
  <c r="Q139" i="4"/>
  <c r="Q156" i="4"/>
  <c r="Q70" i="4"/>
  <c r="Q155" i="4"/>
  <c r="Q157" i="4"/>
  <c r="Q54" i="4"/>
  <c r="Q172" i="4"/>
  <c r="Q71" i="4"/>
  <c r="Q159" i="4"/>
  <c r="Q20" i="4"/>
  <c r="Q171" i="4"/>
  <c r="Q13" i="4"/>
  <c r="Q12" i="4"/>
  <c r="Q67" i="4"/>
  <c r="Q76" i="4"/>
  <c r="P154" i="4"/>
  <c r="P122" i="4"/>
  <c r="P68" i="4"/>
  <c r="P49" i="4"/>
  <c r="P135" i="4"/>
  <c r="P173" i="4"/>
  <c r="P57" i="4"/>
  <c r="P11" i="4"/>
  <c r="P184" i="4"/>
  <c r="P136" i="4"/>
  <c r="P6" i="4"/>
  <c r="P90" i="4"/>
  <c r="B22" i="8" s="1"/>
  <c r="P123" i="4"/>
  <c r="P163" i="4"/>
  <c r="P56" i="4"/>
  <c r="P61" i="4"/>
  <c r="P9" i="4"/>
  <c r="P145" i="4"/>
  <c r="P119" i="4"/>
  <c r="P99" i="4"/>
  <c r="P46" i="4"/>
  <c r="P117" i="4"/>
  <c r="P107" i="4"/>
  <c r="P73" i="4"/>
  <c r="P109" i="4"/>
  <c r="P17" i="4"/>
  <c r="P28" i="4"/>
  <c r="P97" i="4"/>
  <c r="P132" i="4"/>
  <c r="P32" i="4"/>
  <c r="P58" i="4"/>
  <c r="P186" i="4"/>
  <c r="P75" i="4"/>
  <c r="P14" i="4"/>
  <c r="P96" i="4"/>
  <c r="P35" i="4"/>
  <c r="P141" i="4"/>
  <c r="P26" i="4"/>
  <c r="P84" i="4"/>
  <c r="P153" i="4"/>
  <c r="P169" i="4"/>
  <c r="P182" i="4"/>
  <c r="P21" i="4"/>
  <c r="P104" i="4"/>
  <c r="P187" i="4"/>
  <c r="P66" i="4"/>
  <c r="P165" i="4"/>
  <c r="P40" i="4"/>
  <c r="P160" i="4"/>
  <c r="P42" i="4"/>
  <c r="P161" i="4"/>
  <c r="P82" i="4"/>
  <c r="P80" i="4"/>
  <c r="P98" i="4"/>
  <c r="P79" i="4"/>
  <c r="P72" i="4"/>
  <c r="P115" i="4"/>
  <c r="P106" i="4"/>
  <c r="P108" i="4"/>
  <c r="P63" i="4"/>
  <c r="P19" i="4"/>
  <c r="P144" i="4"/>
  <c r="P53" i="4"/>
  <c r="P22" i="4"/>
  <c r="P127" i="4"/>
  <c r="P143" i="4"/>
  <c r="P120" i="4"/>
  <c r="P78" i="4"/>
  <c r="P134" i="4"/>
  <c r="P176" i="4"/>
  <c r="P125" i="4"/>
  <c r="P41" i="4"/>
  <c r="P138" i="4"/>
  <c r="P36" i="4"/>
  <c r="P23" i="4"/>
  <c r="P7" i="4"/>
  <c r="P47" i="4"/>
  <c r="P18" i="4"/>
  <c r="P101" i="4"/>
  <c r="P116" i="4"/>
  <c r="P34" i="4"/>
  <c r="P95" i="4"/>
  <c r="P166" i="4"/>
  <c r="P25" i="4"/>
  <c r="P167" i="4"/>
  <c r="P93" i="4"/>
  <c r="P74" i="4"/>
  <c r="P111" i="4"/>
  <c r="P185" i="4"/>
  <c r="P137" i="4"/>
  <c r="P59" i="4"/>
  <c r="P121" i="4"/>
  <c r="P10" i="4"/>
  <c r="P102" i="4"/>
  <c r="P65" i="4"/>
  <c r="P37" i="4"/>
  <c r="P88" i="4"/>
  <c r="P38" i="4"/>
  <c r="P164" i="4"/>
  <c r="P24" i="4"/>
  <c r="P31" i="4"/>
  <c r="P50" i="4"/>
  <c r="P27" i="4"/>
  <c r="P114" i="4"/>
  <c r="P94" i="4"/>
  <c r="P146" i="4"/>
  <c r="P177" i="4"/>
  <c r="P29" i="4"/>
  <c r="P152" i="4"/>
  <c r="P149" i="4"/>
  <c r="P112" i="4"/>
  <c r="P4" i="4"/>
  <c r="P92" i="4"/>
  <c r="P8" i="4"/>
  <c r="P124" i="4"/>
  <c r="P83" i="4"/>
  <c r="P39" i="4"/>
  <c r="P30" i="4"/>
  <c r="P81" i="4"/>
  <c r="P105" i="4"/>
  <c r="P126" i="4"/>
  <c r="P113" i="4"/>
  <c r="P33" i="4"/>
  <c r="P131" i="4"/>
  <c r="P48" i="4"/>
  <c r="P5" i="4"/>
  <c r="P148" i="4"/>
  <c r="P175" i="4"/>
  <c r="P151" i="4"/>
  <c r="P158" i="4"/>
  <c r="P91" i="4"/>
  <c r="P15" i="4"/>
  <c r="P174" i="4"/>
  <c r="P129" i="4"/>
  <c r="P85" i="4"/>
  <c r="P77" i="4"/>
  <c r="P179" i="4"/>
  <c r="P100" i="4"/>
  <c r="P180" i="4"/>
  <c r="P168" i="4"/>
  <c r="P162" i="4"/>
  <c r="P87" i="4"/>
  <c r="P110" i="4"/>
  <c r="P51" i="4"/>
  <c r="P69" i="4"/>
  <c r="P178" i="4"/>
  <c r="P52" i="4"/>
  <c r="P118" i="4"/>
  <c r="P86" i="4"/>
  <c r="P183" i="4"/>
  <c r="P128" i="4"/>
  <c r="P55" i="4"/>
  <c r="P103" i="4"/>
  <c r="P44" i="4"/>
  <c r="P147" i="4"/>
  <c r="P133" i="4"/>
  <c r="P150" i="4"/>
  <c r="P43" i="4"/>
  <c r="P140" i="4"/>
  <c r="P170" i="4"/>
  <c r="P181" i="4"/>
  <c r="P16" i="4"/>
  <c r="P130" i="4"/>
  <c r="P142" i="4"/>
  <c r="P64" i="4"/>
  <c r="P45" i="4"/>
  <c r="P89" i="4"/>
  <c r="P60" i="4"/>
  <c r="P62" i="4"/>
  <c r="P139" i="4"/>
  <c r="P156" i="4"/>
  <c r="P70" i="4"/>
  <c r="P155" i="4"/>
  <c r="P157" i="4"/>
  <c r="P54" i="4"/>
  <c r="P172" i="4"/>
  <c r="P71" i="4"/>
  <c r="P159" i="4"/>
  <c r="P20" i="4"/>
  <c r="P171" i="4"/>
  <c r="P13" i="4"/>
  <c r="P12" i="4"/>
  <c r="P67" i="4"/>
  <c r="P76" i="4"/>
  <c r="O154" i="4"/>
  <c r="U154" i="4" s="1"/>
  <c r="O122" i="4"/>
  <c r="U122" i="4" s="1"/>
  <c r="O68" i="4"/>
  <c r="U68" i="4" s="1"/>
  <c r="O49" i="4"/>
  <c r="U49" i="4" s="1"/>
  <c r="O135" i="4"/>
  <c r="U135" i="4" s="1"/>
  <c r="O173" i="4"/>
  <c r="U173" i="4" s="1"/>
  <c r="O57" i="4"/>
  <c r="U57" i="4" s="1"/>
  <c r="O11" i="4"/>
  <c r="U11" i="4" s="1"/>
  <c r="O184" i="4"/>
  <c r="U184" i="4" s="1"/>
  <c r="O136" i="4"/>
  <c r="U136" i="4" s="1"/>
  <c r="O6" i="4"/>
  <c r="U6" i="4" s="1"/>
  <c r="O90" i="4"/>
  <c r="U90" i="4" s="1"/>
  <c r="O123" i="4"/>
  <c r="U123" i="4" s="1"/>
  <c r="O163" i="4"/>
  <c r="U163" i="4" s="1"/>
  <c r="O56" i="4"/>
  <c r="U56" i="4" s="1"/>
  <c r="O61" i="4"/>
  <c r="U61" i="4" s="1"/>
  <c r="O9" i="4"/>
  <c r="U9" i="4" s="1"/>
  <c r="O145" i="4"/>
  <c r="U145" i="4" s="1"/>
  <c r="O119" i="4"/>
  <c r="U119" i="4" s="1"/>
  <c r="O99" i="4"/>
  <c r="O46" i="4"/>
  <c r="U46" i="4" s="1"/>
  <c r="O117" i="4"/>
  <c r="U117" i="4" s="1"/>
  <c r="O107" i="4"/>
  <c r="U107" i="4" s="1"/>
  <c r="O73" i="4"/>
  <c r="U73" i="4" s="1"/>
  <c r="O109" i="4"/>
  <c r="U109" i="4" s="1"/>
  <c r="O17" i="4"/>
  <c r="O28" i="4"/>
  <c r="U28" i="4" s="1"/>
  <c r="O97" i="4"/>
  <c r="U97" i="4" s="1"/>
  <c r="O132" i="4"/>
  <c r="U132" i="4" s="1"/>
  <c r="O32" i="4"/>
  <c r="U32" i="4" s="1"/>
  <c r="O58" i="4"/>
  <c r="U58" i="4" s="1"/>
  <c r="O186" i="4"/>
  <c r="U186" i="4" s="1"/>
  <c r="O75" i="4"/>
  <c r="U75" i="4" s="1"/>
  <c r="O14" i="4"/>
  <c r="U14" i="4" s="1"/>
  <c r="O96" i="4"/>
  <c r="U96" i="4" s="1"/>
  <c r="O35" i="4"/>
  <c r="U35" i="4" s="1"/>
  <c r="O141" i="4"/>
  <c r="U141" i="4" s="1"/>
  <c r="O26" i="4"/>
  <c r="U26" i="4" s="1"/>
  <c r="O84" i="4"/>
  <c r="U84" i="4" s="1"/>
  <c r="O153" i="4"/>
  <c r="U153" i="4" s="1"/>
  <c r="O169" i="4"/>
  <c r="U169" i="4" s="1"/>
  <c r="O182" i="4"/>
  <c r="U182" i="4" s="1"/>
  <c r="O21" i="4"/>
  <c r="U21" i="4" s="1"/>
  <c r="O104" i="4"/>
  <c r="U104" i="4" s="1"/>
  <c r="O187" i="4"/>
  <c r="U187" i="4" s="1"/>
  <c r="O66" i="4"/>
  <c r="U66" i="4" s="1"/>
  <c r="O165" i="4"/>
  <c r="U165" i="4" s="1"/>
  <c r="O40" i="4"/>
  <c r="U40" i="4" s="1"/>
  <c r="O160" i="4"/>
  <c r="U160" i="4" s="1"/>
  <c r="O42" i="4"/>
  <c r="U42" i="4" s="1"/>
  <c r="O161" i="4"/>
  <c r="U161" i="4" s="1"/>
  <c r="O82" i="4"/>
  <c r="U82" i="4" s="1"/>
  <c r="O80" i="4"/>
  <c r="U80" i="4" s="1"/>
  <c r="O98" i="4"/>
  <c r="U98" i="4" s="1"/>
  <c r="O79" i="4"/>
  <c r="U79" i="4" s="1"/>
  <c r="O72" i="4"/>
  <c r="U72" i="4" s="1"/>
  <c r="O115" i="4"/>
  <c r="U115" i="4" s="1"/>
  <c r="O106" i="4"/>
  <c r="O108" i="4"/>
  <c r="O63" i="4"/>
  <c r="O19" i="4"/>
  <c r="O144" i="4"/>
  <c r="O53" i="4"/>
  <c r="O22" i="4"/>
  <c r="O127" i="4"/>
  <c r="O143" i="4"/>
  <c r="O120" i="4"/>
  <c r="O78" i="4"/>
  <c r="O134" i="4"/>
  <c r="O176" i="4"/>
  <c r="O125" i="4"/>
  <c r="O41" i="4"/>
  <c r="O138" i="4"/>
  <c r="O36" i="4"/>
  <c r="O23" i="4"/>
  <c r="O7" i="4"/>
  <c r="O47" i="4"/>
  <c r="O18" i="4"/>
  <c r="O101" i="4"/>
  <c r="O116" i="4"/>
  <c r="O34" i="4"/>
  <c r="O95" i="4"/>
  <c r="O166" i="4"/>
  <c r="O25" i="4"/>
  <c r="O167" i="4"/>
  <c r="O93" i="4"/>
  <c r="O74" i="4"/>
  <c r="O111" i="4"/>
  <c r="O185" i="4"/>
  <c r="O137" i="4"/>
  <c r="O59" i="4"/>
  <c r="O121" i="4"/>
  <c r="O10" i="4"/>
  <c r="O102" i="4"/>
  <c r="O65" i="4"/>
  <c r="O37" i="4"/>
  <c r="O88" i="4"/>
  <c r="O38" i="4"/>
  <c r="O164" i="4"/>
  <c r="O24" i="4"/>
  <c r="O31" i="4"/>
  <c r="O50" i="4"/>
  <c r="O27" i="4"/>
  <c r="O114" i="4"/>
  <c r="O94" i="4"/>
  <c r="O146" i="4"/>
  <c r="O177" i="4"/>
  <c r="O29" i="4"/>
  <c r="O152" i="4"/>
  <c r="O149" i="4"/>
  <c r="O112" i="4"/>
  <c r="O4" i="4"/>
  <c r="O92" i="4"/>
  <c r="O8" i="4"/>
  <c r="O124" i="4"/>
  <c r="O83" i="4"/>
  <c r="O39" i="4"/>
  <c r="O30" i="4"/>
  <c r="O81" i="4"/>
  <c r="O105" i="4"/>
  <c r="O126" i="4"/>
  <c r="O113" i="4"/>
  <c r="O33" i="4"/>
  <c r="O131" i="4"/>
  <c r="O48" i="4"/>
  <c r="O5" i="4"/>
  <c r="O148" i="4"/>
  <c r="O175" i="4"/>
  <c r="O151" i="4"/>
  <c r="O158" i="4"/>
  <c r="O91" i="4"/>
  <c r="O15" i="4"/>
  <c r="O174" i="4"/>
  <c r="O129" i="4"/>
  <c r="O85" i="4"/>
  <c r="O77" i="4"/>
  <c r="O179" i="4"/>
  <c r="O100" i="4"/>
  <c r="O180" i="4"/>
  <c r="O168" i="4"/>
  <c r="O162" i="4"/>
  <c r="O87" i="4"/>
  <c r="O110" i="4"/>
  <c r="O51" i="4"/>
  <c r="O69" i="4"/>
  <c r="O178" i="4"/>
  <c r="O52" i="4"/>
  <c r="O118" i="4"/>
  <c r="O86" i="4"/>
  <c r="O183" i="4"/>
  <c r="O128" i="4"/>
  <c r="O55" i="4"/>
  <c r="O103" i="4"/>
  <c r="O44" i="4"/>
  <c r="O147" i="4"/>
  <c r="O133" i="4"/>
  <c r="O150" i="4"/>
  <c r="O43" i="4"/>
  <c r="O140" i="4"/>
  <c r="O170" i="4"/>
  <c r="O181" i="4"/>
  <c r="O16" i="4"/>
  <c r="O130" i="4"/>
  <c r="O142" i="4"/>
  <c r="O64" i="4"/>
  <c r="O45" i="4"/>
  <c r="O89" i="4"/>
  <c r="O60" i="4"/>
  <c r="O62" i="4"/>
  <c r="O139" i="4"/>
  <c r="O156" i="4"/>
  <c r="O70" i="4"/>
  <c r="O155" i="4"/>
  <c r="O157" i="4"/>
  <c r="O54" i="4"/>
  <c r="O172" i="4"/>
  <c r="O71" i="4"/>
  <c r="O159" i="4"/>
  <c r="O20" i="4"/>
  <c r="O171" i="4"/>
  <c r="O13" i="4"/>
  <c r="O12" i="4"/>
  <c r="O67" i="4"/>
  <c r="O76" i="4"/>
  <c r="N154" i="4"/>
  <c r="R154" i="4" s="1"/>
  <c r="N122" i="4"/>
  <c r="R122" i="4" s="1"/>
  <c r="N68" i="4"/>
  <c r="R68" i="4" s="1"/>
  <c r="N49" i="4"/>
  <c r="R49" i="4" s="1"/>
  <c r="N135" i="4"/>
  <c r="R135" i="4" s="1"/>
  <c r="N173" i="4"/>
  <c r="R173" i="4" s="1"/>
  <c r="N57" i="4"/>
  <c r="R57" i="4" s="1"/>
  <c r="N11" i="4"/>
  <c r="R11" i="4" s="1"/>
  <c r="N184" i="4"/>
  <c r="R184" i="4" s="1"/>
  <c r="N136" i="4"/>
  <c r="R136" i="4" s="1"/>
  <c r="N6" i="4"/>
  <c r="R6" i="4" s="1"/>
  <c r="N90" i="4"/>
  <c r="R90" i="4" s="1"/>
  <c r="N123" i="4"/>
  <c r="R123" i="4" s="1"/>
  <c r="N163" i="4"/>
  <c r="R163" i="4" s="1"/>
  <c r="N56" i="4"/>
  <c r="R56" i="4" s="1"/>
  <c r="N61" i="4"/>
  <c r="R61" i="4" s="1"/>
  <c r="N9" i="4"/>
  <c r="R9" i="4" s="1"/>
  <c r="N145" i="4"/>
  <c r="R145" i="4" s="1"/>
  <c r="N119" i="4"/>
  <c r="R119" i="4" s="1"/>
  <c r="N99" i="4"/>
  <c r="R99" i="4" s="1"/>
  <c r="N46" i="4"/>
  <c r="R46" i="4" s="1"/>
  <c r="N117" i="4"/>
  <c r="R117" i="4" s="1"/>
  <c r="N107" i="4"/>
  <c r="R107" i="4" s="1"/>
  <c r="N73" i="4"/>
  <c r="R73" i="4" s="1"/>
  <c r="N109" i="4"/>
  <c r="R109" i="4" s="1"/>
  <c r="N17" i="4"/>
  <c r="R17" i="4" s="1"/>
  <c r="N28" i="4"/>
  <c r="R28" i="4" s="1"/>
  <c r="N97" i="4"/>
  <c r="R97" i="4" s="1"/>
  <c r="N132" i="4"/>
  <c r="R132" i="4" s="1"/>
  <c r="N32" i="4"/>
  <c r="R32" i="4" s="1"/>
  <c r="N58" i="4"/>
  <c r="R58" i="4" s="1"/>
  <c r="N186" i="4"/>
  <c r="R186" i="4" s="1"/>
  <c r="N75" i="4"/>
  <c r="R75" i="4" s="1"/>
  <c r="N14" i="4"/>
  <c r="N96" i="4"/>
  <c r="R96" i="4" s="1"/>
  <c r="N35" i="4"/>
  <c r="R35" i="4" s="1"/>
  <c r="N141" i="4"/>
  <c r="R141" i="4" s="1"/>
  <c r="N26" i="4"/>
  <c r="R26" i="4" s="1"/>
  <c r="N84" i="4"/>
  <c r="R84" i="4" s="1"/>
  <c r="N153" i="4"/>
  <c r="R153" i="4" s="1"/>
  <c r="N169" i="4"/>
  <c r="R169" i="4" s="1"/>
  <c r="N182" i="4"/>
  <c r="R182" i="4" s="1"/>
  <c r="N21" i="4"/>
  <c r="R21" i="4" s="1"/>
  <c r="N104" i="4"/>
  <c r="R104" i="4" s="1"/>
  <c r="N187" i="4"/>
  <c r="R187" i="4" s="1"/>
  <c r="N66" i="4"/>
  <c r="R66" i="4" s="1"/>
  <c r="N165" i="4"/>
  <c r="R165" i="4" s="1"/>
  <c r="N40" i="4"/>
  <c r="R40" i="4" s="1"/>
  <c r="N160" i="4"/>
  <c r="R160" i="4" s="1"/>
  <c r="N42" i="4"/>
  <c r="R42" i="4" s="1"/>
  <c r="N161" i="4"/>
  <c r="N82" i="4"/>
  <c r="R82" i="4" s="1"/>
  <c r="N80" i="4"/>
  <c r="R80" i="4" s="1"/>
  <c r="N98" i="4"/>
  <c r="R98" i="4" s="1"/>
  <c r="N79" i="4"/>
  <c r="R79" i="4" s="1"/>
  <c r="N72" i="4"/>
  <c r="R72" i="4" s="1"/>
  <c r="N115" i="4"/>
  <c r="R115" i="4" s="1"/>
  <c r="N106" i="4"/>
  <c r="R106" i="4" s="1"/>
  <c r="N108" i="4"/>
  <c r="R108" i="4" s="1"/>
  <c r="N63" i="4"/>
  <c r="R63" i="4" s="1"/>
  <c r="N19" i="4"/>
  <c r="R19" i="4" s="1"/>
  <c r="N144" i="4"/>
  <c r="R144" i="4" s="1"/>
  <c r="N53" i="4"/>
  <c r="R53" i="4" s="1"/>
  <c r="N22" i="4"/>
  <c r="R22" i="4" s="1"/>
  <c r="N127" i="4"/>
  <c r="R127" i="4" s="1"/>
  <c r="N143" i="4"/>
  <c r="R143" i="4" s="1"/>
  <c r="N120" i="4"/>
  <c r="R120" i="4" s="1"/>
  <c r="N78" i="4"/>
  <c r="R78" i="4" s="1"/>
  <c r="N134" i="4"/>
  <c r="R134" i="4" s="1"/>
  <c r="N176" i="4"/>
  <c r="R176" i="4" s="1"/>
  <c r="N125" i="4"/>
  <c r="R125" i="4" s="1"/>
  <c r="N41" i="4"/>
  <c r="R41" i="4" s="1"/>
  <c r="N138" i="4"/>
  <c r="R138" i="4" s="1"/>
  <c r="N36" i="4"/>
  <c r="R36" i="4" s="1"/>
  <c r="N23" i="4"/>
  <c r="R23" i="4" s="1"/>
  <c r="N7" i="4"/>
  <c r="R7" i="4" s="1"/>
  <c r="N47" i="4"/>
  <c r="R47" i="4" s="1"/>
  <c r="N18" i="4"/>
  <c r="R18" i="4" s="1"/>
  <c r="N101" i="4"/>
  <c r="R101" i="4" s="1"/>
  <c r="N116" i="4"/>
  <c r="R116" i="4" s="1"/>
  <c r="N34" i="4"/>
  <c r="R34" i="4" s="1"/>
  <c r="N95" i="4"/>
  <c r="R95" i="4" s="1"/>
  <c r="N166" i="4"/>
  <c r="R166" i="4" s="1"/>
  <c r="N25" i="4"/>
  <c r="R25" i="4" s="1"/>
  <c r="N167" i="4"/>
  <c r="R167" i="4" s="1"/>
  <c r="N93" i="4"/>
  <c r="R93" i="4" s="1"/>
  <c r="N74" i="4"/>
  <c r="R74" i="4" s="1"/>
  <c r="N111" i="4"/>
  <c r="R111" i="4" s="1"/>
  <c r="N185" i="4"/>
  <c r="R185" i="4" s="1"/>
  <c r="N137" i="4"/>
  <c r="R137" i="4" s="1"/>
  <c r="N59" i="4"/>
  <c r="R59" i="4" s="1"/>
  <c r="N121" i="4"/>
  <c r="R121" i="4" s="1"/>
  <c r="N10" i="4"/>
  <c r="R10" i="4" s="1"/>
  <c r="N102" i="4"/>
  <c r="R102" i="4" s="1"/>
  <c r="N65" i="4"/>
  <c r="R65" i="4" s="1"/>
  <c r="N37" i="4"/>
  <c r="R37" i="4" s="1"/>
  <c r="N88" i="4"/>
  <c r="R88" i="4" s="1"/>
  <c r="N38" i="4"/>
  <c r="R38" i="4" s="1"/>
  <c r="N164" i="4"/>
  <c r="R164" i="4" s="1"/>
  <c r="N24" i="4"/>
  <c r="R24" i="4" s="1"/>
  <c r="N31" i="4"/>
  <c r="R31" i="4" s="1"/>
  <c r="N50" i="4"/>
  <c r="R50" i="4" s="1"/>
  <c r="N27" i="4"/>
  <c r="R27" i="4" s="1"/>
  <c r="N114" i="4"/>
  <c r="R114" i="4" s="1"/>
  <c r="N94" i="4"/>
  <c r="R94" i="4" s="1"/>
  <c r="N146" i="4"/>
  <c r="R146" i="4" s="1"/>
  <c r="N177" i="4"/>
  <c r="R177" i="4" s="1"/>
  <c r="N29" i="4"/>
  <c r="R29" i="4" s="1"/>
  <c r="N152" i="4"/>
  <c r="R152" i="4" s="1"/>
  <c r="N149" i="4"/>
  <c r="R149" i="4" s="1"/>
  <c r="N112" i="4"/>
  <c r="R112" i="4" s="1"/>
  <c r="N4" i="4"/>
  <c r="R4" i="4" s="1"/>
  <c r="N92" i="4"/>
  <c r="R92" i="4" s="1"/>
  <c r="N8" i="4"/>
  <c r="R8" i="4" s="1"/>
  <c r="N124" i="4"/>
  <c r="R124" i="4" s="1"/>
  <c r="N83" i="4"/>
  <c r="N39" i="4"/>
  <c r="R39" i="4" s="1"/>
  <c r="N30" i="4"/>
  <c r="R30" i="4" s="1"/>
  <c r="N81" i="4"/>
  <c r="R81" i="4" s="1"/>
  <c r="N105" i="4"/>
  <c r="R105" i="4" s="1"/>
  <c r="N126" i="4"/>
  <c r="R126" i="4" s="1"/>
  <c r="N113" i="4"/>
  <c r="R113" i="4" s="1"/>
  <c r="N33" i="4"/>
  <c r="R33" i="4" s="1"/>
  <c r="N131" i="4"/>
  <c r="R131" i="4" s="1"/>
  <c r="N48" i="4"/>
  <c r="R48" i="4" s="1"/>
  <c r="N5" i="4"/>
  <c r="R5" i="4" s="1"/>
  <c r="N148" i="4"/>
  <c r="R148" i="4" s="1"/>
  <c r="N175" i="4"/>
  <c r="R175" i="4" s="1"/>
  <c r="N151" i="4"/>
  <c r="R151" i="4" s="1"/>
  <c r="N158" i="4"/>
  <c r="R158" i="4" s="1"/>
  <c r="N91" i="4"/>
  <c r="R91" i="4" s="1"/>
  <c r="N15" i="4"/>
  <c r="R15" i="4" s="1"/>
  <c r="N174" i="4"/>
  <c r="R174" i="4" s="1"/>
  <c r="N129" i="4"/>
  <c r="R129" i="4" s="1"/>
  <c r="N85" i="4"/>
  <c r="R85" i="4" s="1"/>
  <c r="N77" i="4"/>
  <c r="R77" i="4" s="1"/>
  <c r="N179" i="4"/>
  <c r="R179" i="4" s="1"/>
  <c r="N100" i="4"/>
  <c r="R100" i="4" s="1"/>
  <c r="N180" i="4"/>
  <c r="R180" i="4" s="1"/>
  <c r="N168" i="4"/>
  <c r="R168" i="4" s="1"/>
  <c r="N162" i="4"/>
  <c r="R162" i="4" s="1"/>
  <c r="N87" i="4"/>
  <c r="R87" i="4" s="1"/>
  <c r="N110" i="4"/>
  <c r="R110" i="4" s="1"/>
  <c r="N51" i="4"/>
  <c r="R51" i="4" s="1"/>
  <c r="N69" i="4"/>
  <c r="R69" i="4" s="1"/>
  <c r="N178" i="4"/>
  <c r="R178" i="4" s="1"/>
  <c r="N52" i="4"/>
  <c r="R52" i="4" s="1"/>
  <c r="N118" i="4"/>
  <c r="R118" i="4" s="1"/>
  <c r="N86" i="4"/>
  <c r="R86" i="4" s="1"/>
  <c r="N183" i="4"/>
  <c r="R183" i="4" s="1"/>
  <c r="N128" i="4"/>
  <c r="R128" i="4" s="1"/>
  <c r="N55" i="4"/>
  <c r="N103" i="4"/>
  <c r="N44" i="4"/>
  <c r="R44" i="4" s="1"/>
  <c r="N147" i="4"/>
  <c r="R147" i="4" s="1"/>
  <c r="N133" i="4"/>
  <c r="N150" i="4"/>
  <c r="N43" i="4"/>
  <c r="N140" i="4"/>
  <c r="N170" i="4"/>
  <c r="N181" i="4"/>
  <c r="N16" i="4"/>
  <c r="N130" i="4"/>
  <c r="N142" i="4"/>
  <c r="N64" i="4"/>
  <c r="N45" i="4"/>
  <c r="N89" i="4"/>
  <c r="N60" i="4"/>
  <c r="N62" i="4"/>
  <c r="N139" i="4"/>
  <c r="N156" i="4"/>
  <c r="N70" i="4"/>
  <c r="N155" i="4"/>
  <c r="N157" i="4"/>
  <c r="N54" i="4"/>
  <c r="N172" i="4"/>
  <c r="N71" i="4"/>
  <c r="N159" i="4"/>
  <c r="N20" i="4"/>
  <c r="N171" i="4"/>
  <c r="N13" i="4"/>
  <c r="N12" i="4"/>
  <c r="N67" i="4"/>
  <c r="N76" i="4"/>
  <c r="E21" i="3"/>
  <c r="E22" i="3"/>
  <c r="S133" i="4" s="1"/>
  <c r="E23" i="3"/>
  <c r="S96" i="4" s="1"/>
  <c r="E24" i="3"/>
  <c r="E25" i="3"/>
  <c r="E26" i="3"/>
  <c r="B16" i="3"/>
  <c r="B5" i="3"/>
  <c r="V6" i="4" l="1"/>
  <c r="V163" i="4"/>
  <c r="V66" i="4"/>
  <c r="V98" i="4"/>
  <c r="V125" i="4"/>
  <c r="V7" i="4"/>
  <c r="V95" i="4"/>
  <c r="V11" i="4"/>
  <c r="V9" i="4"/>
  <c r="V160" i="4"/>
  <c r="V120" i="4"/>
  <c r="V23" i="4"/>
  <c r="V116" i="4"/>
  <c r="V173" i="4"/>
  <c r="V57" i="4"/>
  <c r="V136" i="4"/>
  <c r="V90" i="4"/>
  <c r="V56" i="4"/>
  <c r="V145" i="4"/>
  <c r="V187" i="4"/>
  <c r="V42" i="4"/>
  <c r="V176" i="4"/>
  <c r="V36" i="4"/>
  <c r="V18" i="4"/>
  <c r="V96" i="4"/>
  <c r="V35" i="4"/>
  <c r="V141" i="4"/>
  <c r="V26" i="4"/>
  <c r="V84" i="4"/>
  <c r="V153" i="4"/>
  <c r="V169" i="4"/>
  <c r="V182" i="4"/>
  <c r="V21" i="4"/>
  <c r="V104" i="4"/>
  <c r="V40" i="4"/>
  <c r="V82" i="4"/>
  <c r="V78" i="4"/>
  <c r="V41" i="4"/>
  <c r="V47" i="4"/>
  <c r="V34" i="4"/>
  <c r="V50" i="4"/>
  <c r="V27" i="4"/>
  <c r="V114" i="4"/>
  <c r="V94" i="4"/>
  <c r="V146" i="4"/>
  <c r="V177" i="4"/>
  <c r="V29" i="4"/>
  <c r="V152" i="4"/>
  <c r="V149" i="4"/>
  <c r="V112" i="4"/>
  <c r="V4" i="4"/>
  <c r="V184" i="4"/>
  <c r="V123" i="4"/>
  <c r="V61" i="4"/>
  <c r="V165" i="4"/>
  <c r="V80" i="4"/>
  <c r="V134" i="4"/>
  <c r="V138" i="4"/>
  <c r="V101" i="4"/>
  <c r="V135" i="4"/>
  <c r="V99" i="4"/>
  <c r="V46" i="4"/>
  <c r="V117" i="4"/>
  <c r="V107" i="4"/>
  <c r="V73" i="4"/>
  <c r="V109" i="4"/>
  <c r="V17" i="4"/>
  <c r="V28" i="4"/>
  <c r="V97" i="4"/>
  <c r="V132" i="4"/>
  <c r="V32" i="4"/>
  <c r="V58" i="4"/>
  <c r="V186" i="4"/>
  <c r="V75" i="4"/>
  <c r="V166" i="4"/>
  <c r="V167" i="4"/>
  <c r="V93" i="4"/>
  <c r="V74" i="4"/>
  <c r="V111" i="4"/>
  <c r="V185" i="4"/>
  <c r="V137" i="4"/>
  <c r="V59" i="4"/>
  <c r="V121" i="4"/>
  <c r="V10" i="4"/>
  <c r="V102" i="4"/>
  <c r="V65" i="4"/>
  <c r="V37" i="4"/>
  <c r="V88" i="4"/>
  <c r="V38" i="4"/>
  <c r="V164" i="4"/>
  <c r="V24" i="4"/>
  <c r="V31" i="4"/>
  <c r="B8" i="8"/>
  <c r="K11" i="7"/>
  <c r="V154" i="4"/>
  <c r="V122" i="4"/>
  <c r="V68" i="4"/>
  <c r="V49" i="4"/>
  <c r="V79" i="4"/>
  <c r="V72" i="4"/>
  <c r="V115" i="4"/>
  <c r="V106" i="4"/>
  <c r="V108" i="4"/>
  <c r="V63" i="4"/>
  <c r="V19" i="4"/>
  <c r="V144" i="4"/>
  <c r="V53" i="4"/>
  <c r="V22" i="4"/>
  <c r="V127" i="4"/>
  <c r="V143" i="4"/>
  <c r="V92" i="4"/>
  <c r="V8" i="4"/>
  <c r="V124" i="4"/>
  <c r="V39" i="4"/>
  <c r="V30" i="4"/>
  <c r="V81" i="4"/>
  <c r="V105" i="4"/>
  <c r="V126" i="4"/>
  <c r="V113" i="4"/>
  <c r="V33" i="4"/>
  <c r="V131" i="4"/>
  <c r="V48" i="4"/>
  <c r="V5" i="4"/>
  <c r="V148" i="4"/>
  <c r="V175" i="4"/>
  <c r="V151" i="4"/>
  <c r="V158" i="4"/>
  <c r="E7" i="8"/>
  <c r="E11" i="7" a="1"/>
  <c r="K9" i="7"/>
  <c r="E12" i="7" a="1"/>
  <c r="V119" i="4"/>
  <c r="J12" i="7"/>
  <c r="U99" i="4"/>
  <c r="J11" i="7"/>
  <c r="U17" i="4"/>
  <c r="D8" i="8"/>
  <c r="C10" i="8"/>
  <c r="J9" i="7"/>
  <c r="L9" i="7" s="1"/>
  <c r="M9" i="7" s="1"/>
  <c r="D10" i="8"/>
  <c r="B20" i="8"/>
  <c r="G7" i="8"/>
  <c r="B7" i="8"/>
  <c r="H7" i="8" s="1"/>
  <c r="C18" i="8" s="1"/>
  <c r="E10" i="8"/>
  <c r="R14" i="4"/>
  <c r="V14" i="4"/>
  <c r="R161" i="4"/>
  <c r="V161" i="4"/>
  <c r="R83" i="4"/>
  <c r="V83" i="4"/>
  <c r="R55" i="4"/>
  <c r="D45" i="2" s="1"/>
  <c r="V55" i="4"/>
  <c r="R103" i="4"/>
  <c r="V103" i="4"/>
  <c r="R133" i="4"/>
  <c r="F16" i="6" s="1"/>
  <c r="V133" i="4"/>
  <c r="R150" i="4"/>
  <c r="V150" i="4"/>
  <c r="R43" i="4"/>
  <c r="V43" i="4"/>
  <c r="R140" i="4"/>
  <c r="V140" i="4"/>
  <c r="R170" i="4"/>
  <c r="V170" i="4"/>
  <c r="R181" i="4"/>
  <c r="V181" i="4"/>
  <c r="R16" i="4"/>
  <c r="V16" i="4"/>
  <c r="R130" i="4"/>
  <c r="V130" i="4"/>
  <c r="R142" i="4"/>
  <c r="V142" i="4"/>
  <c r="R64" i="4"/>
  <c r="B17" i="6" s="1"/>
  <c r="V64" i="4"/>
  <c r="R45" i="4"/>
  <c r="V45" i="4"/>
  <c r="R89" i="4"/>
  <c r="B15" i="6" s="1"/>
  <c r="V89" i="4"/>
  <c r="R60" i="4"/>
  <c r="E18" i="6" s="1"/>
  <c r="V60" i="4"/>
  <c r="R62" i="4"/>
  <c r="F18" i="6" s="1"/>
  <c r="V62" i="4"/>
  <c r="R139" i="4"/>
  <c r="V139" i="4"/>
  <c r="R156" i="4"/>
  <c r="V156" i="4"/>
  <c r="R70" i="4"/>
  <c r="V70" i="4"/>
  <c r="R155" i="4"/>
  <c r="V155" i="4"/>
  <c r="R157" i="4"/>
  <c r="V157" i="4"/>
  <c r="R54" i="4"/>
  <c r="V54" i="4"/>
  <c r="R172" i="4"/>
  <c r="V172" i="4"/>
  <c r="R71" i="4"/>
  <c r="V71" i="4"/>
  <c r="R159" i="4"/>
  <c r="V159" i="4"/>
  <c r="R20" i="4"/>
  <c r="V20" i="4"/>
  <c r="R171" i="4"/>
  <c r="V171" i="4"/>
  <c r="R13" i="4"/>
  <c r="V13" i="4"/>
  <c r="R12" i="4"/>
  <c r="V12" i="4"/>
  <c r="R67" i="4"/>
  <c r="V67" i="4"/>
  <c r="R76" i="4"/>
  <c r="V76" i="4"/>
  <c r="T182" i="4"/>
  <c r="T104" i="4"/>
  <c r="T165" i="4"/>
  <c r="T160" i="4"/>
  <c r="T21" i="4"/>
  <c r="T40" i="4"/>
  <c r="T66" i="4"/>
  <c r="T107" i="4"/>
  <c r="T28" i="4"/>
  <c r="T58" i="4"/>
  <c r="T75" i="4"/>
  <c r="T26" i="4"/>
  <c r="T153" i="4"/>
  <c r="T117" i="4"/>
  <c r="T17" i="4"/>
  <c r="T32" i="4"/>
  <c r="T14" i="4"/>
  <c r="T141" i="4"/>
  <c r="T84" i="4"/>
  <c r="T42" i="4"/>
  <c r="T73" i="4"/>
  <c r="T109" i="4"/>
  <c r="T97" i="4"/>
  <c r="T132" i="4"/>
  <c r="T186" i="4"/>
  <c r="T96" i="4"/>
  <c r="T35" i="4"/>
  <c r="T169" i="4"/>
  <c r="S187" i="4"/>
  <c r="T187" i="4" s="1"/>
  <c r="S139" i="4"/>
  <c r="T139" i="4" s="1"/>
  <c r="S155" i="4"/>
  <c r="T155" i="4" s="1"/>
  <c r="S172" i="4"/>
  <c r="T172" i="4" s="1"/>
  <c r="B21" i="8"/>
  <c r="K12" i="7"/>
  <c r="T154" i="4"/>
  <c r="T122" i="4"/>
  <c r="T68" i="4"/>
  <c r="T49" i="4"/>
  <c r="T135" i="4"/>
  <c r="T173" i="4"/>
  <c r="T57" i="4"/>
  <c r="T11" i="4"/>
  <c r="T184" i="4"/>
  <c r="T136" i="4"/>
  <c r="T6" i="4"/>
  <c r="T90" i="4"/>
  <c r="T123" i="4"/>
  <c r="T163" i="4"/>
  <c r="T56" i="4"/>
  <c r="T61" i="4"/>
  <c r="T9" i="4"/>
  <c r="T145" i="4"/>
  <c r="T119" i="4"/>
  <c r="T99" i="4"/>
  <c r="T46" i="4"/>
  <c r="T161" i="4"/>
  <c r="T82" i="4"/>
  <c r="T80" i="4"/>
  <c r="T98" i="4"/>
  <c r="T79" i="4"/>
  <c r="T72" i="4"/>
  <c r="T115" i="4"/>
  <c r="F6" i="8"/>
  <c r="D6" i="8"/>
  <c r="D7" i="8"/>
  <c r="F7" i="8"/>
  <c r="G6" i="8"/>
  <c r="V25" i="4"/>
  <c r="B10" i="8"/>
  <c r="E9" i="7" a="1"/>
  <c r="G8" i="8"/>
  <c r="D11" i="7"/>
  <c r="E8" i="7" a="1"/>
  <c r="E7" i="7" a="1"/>
  <c r="E10" i="7" a="1"/>
  <c r="E6" i="7" a="1"/>
  <c r="F8" i="8"/>
  <c r="K10" i="7"/>
  <c r="J10" i="7"/>
  <c r="D10" i="7"/>
  <c r="B18" i="8"/>
  <c r="B6" i="8"/>
  <c r="B19" i="8"/>
  <c r="E6" i="8"/>
  <c r="F8" i="2" a="1"/>
  <c r="B17" i="8"/>
  <c r="T106" i="4"/>
  <c r="U106" i="4"/>
  <c r="U108" i="4"/>
  <c r="T108" i="4"/>
  <c r="U63" i="4"/>
  <c r="T63" i="4"/>
  <c r="T19" i="4"/>
  <c r="U19" i="4"/>
  <c r="T144" i="4"/>
  <c r="U144" i="4"/>
  <c r="T53" i="4"/>
  <c r="U53" i="4"/>
  <c r="U22" i="4"/>
  <c r="T22" i="4"/>
  <c r="U127" i="4"/>
  <c r="T127" i="4"/>
  <c r="U143" i="4"/>
  <c r="T143" i="4"/>
  <c r="U120" i="4"/>
  <c r="T120" i="4"/>
  <c r="T78" i="4"/>
  <c r="U78" i="4"/>
  <c r="T134" i="4"/>
  <c r="U134" i="4"/>
  <c r="U176" i="4"/>
  <c r="T176" i="4"/>
  <c r="T125" i="4"/>
  <c r="U125" i="4"/>
  <c r="T41" i="4"/>
  <c r="U41" i="4"/>
  <c r="T138" i="4"/>
  <c r="U138" i="4"/>
  <c r="T36" i="4"/>
  <c r="U36" i="4"/>
  <c r="T23" i="4"/>
  <c r="U23" i="4"/>
  <c r="T7" i="4"/>
  <c r="U7" i="4"/>
  <c r="T47" i="4"/>
  <c r="U47" i="4"/>
  <c r="T18" i="4"/>
  <c r="U18" i="4"/>
  <c r="T101" i="4"/>
  <c r="U101" i="4"/>
  <c r="T116" i="4"/>
  <c r="U116" i="4"/>
  <c r="T34" i="4"/>
  <c r="U34" i="4"/>
  <c r="T95" i="4"/>
  <c r="U95" i="4"/>
  <c r="T166" i="4"/>
  <c r="U166" i="4"/>
  <c r="T25" i="4"/>
  <c r="U25" i="4"/>
  <c r="T167" i="4"/>
  <c r="U167" i="4"/>
  <c r="U93" i="4"/>
  <c r="T93" i="4"/>
  <c r="U74" i="4"/>
  <c r="T74" i="4"/>
  <c r="U111" i="4"/>
  <c r="T111" i="4"/>
  <c r="U185" i="4"/>
  <c r="T185" i="4"/>
  <c r="U137" i="4"/>
  <c r="T137" i="4"/>
  <c r="T59" i="4"/>
  <c r="U59" i="4"/>
  <c r="T121" i="4"/>
  <c r="U121" i="4"/>
  <c r="T10" i="4"/>
  <c r="U10" i="4"/>
  <c r="U102" i="4"/>
  <c r="T102" i="4"/>
  <c r="U65" i="4"/>
  <c r="T65" i="4"/>
  <c r="U37" i="4"/>
  <c r="T37" i="4"/>
  <c r="U88" i="4"/>
  <c r="T88" i="4"/>
  <c r="U38" i="4"/>
  <c r="T38" i="4"/>
  <c r="U164" i="4"/>
  <c r="T164" i="4"/>
  <c r="U24" i="4"/>
  <c r="T24" i="4"/>
  <c r="U31" i="4"/>
  <c r="T31" i="4"/>
  <c r="U50" i="4"/>
  <c r="T50" i="4"/>
  <c r="U27" i="4"/>
  <c r="T27" i="4"/>
  <c r="U114" i="4"/>
  <c r="T114" i="4"/>
  <c r="U94" i="4"/>
  <c r="T94" i="4"/>
  <c r="U146" i="4"/>
  <c r="T146" i="4"/>
  <c r="U177" i="4"/>
  <c r="T177" i="4"/>
  <c r="U29" i="4"/>
  <c r="T29" i="4"/>
  <c r="U152" i="4"/>
  <c r="T152" i="4"/>
  <c r="U149" i="4"/>
  <c r="T149" i="4"/>
  <c r="U112" i="4"/>
  <c r="T112" i="4"/>
  <c r="U4" i="4"/>
  <c r="T4" i="4"/>
  <c r="U92" i="4"/>
  <c r="T92" i="4"/>
  <c r="U8" i="4"/>
  <c r="T8" i="4"/>
  <c r="U124" i="4"/>
  <c r="T124" i="4"/>
  <c r="U83" i="4"/>
  <c r="T83" i="4"/>
  <c r="U39" i="4"/>
  <c r="T39" i="4"/>
  <c r="U30" i="4"/>
  <c r="T30" i="4"/>
  <c r="U81" i="4"/>
  <c r="T81" i="4"/>
  <c r="U105" i="4"/>
  <c r="T105" i="4"/>
  <c r="U126" i="4"/>
  <c r="T126" i="4"/>
  <c r="U113" i="4"/>
  <c r="T113" i="4"/>
  <c r="U33" i="4"/>
  <c r="T33" i="4"/>
  <c r="U131" i="4"/>
  <c r="T131" i="4"/>
  <c r="U48" i="4"/>
  <c r="T48" i="4"/>
  <c r="U5" i="4"/>
  <c r="T5" i="4"/>
  <c r="U148" i="4"/>
  <c r="T148" i="4"/>
  <c r="U175" i="4"/>
  <c r="T175" i="4"/>
  <c r="T151" i="4"/>
  <c r="U151" i="4"/>
  <c r="T158" i="4"/>
  <c r="U158" i="4"/>
  <c r="U91" i="4"/>
  <c r="T91" i="4"/>
  <c r="T15" i="4"/>
  <c r="U15" i="4"/>
  <c r="U174" i="4"/>
  <c r="T174" i="4"/>
  <c r="U129" i="4"/>
  <c r="T129" i="4"/>
  <c r="T85" i="4"/>
  <c r="U85" i="4"/>
  <c r="T77" i="4"/>
  <c r="U77" i="4"/>
  <c r="T179" i="4"/>
  <c r="U179" i="4"/>
  <c r="T100" i="4"/>
  <c r="U100" i="4"/>
  <c r="T180" i="4"/>
  <c r="U180" i="4"/>
  <c r="T168" i="4"/>
  <c r="U168" i="4"/>
  <c r="T162" i="4"/>
  <c r="U162" i="4"/>
  <c r="T87" i="4"/>
  <c r="U87" i="4"/>
  <c r="U110" i="4"/>
  <c r="T110" i="4"/>
  <c r="T51" i="4"/>
  <c r="U51" i="4"/>
  <c r="T69" i="4"/>
  <c r="U69" i="4"/>
  <c r="T178" i="4"/>
  <c r="U178" i="4"/>
  <c r="U52" i="4"/>
  <c r="T52" i="4"/>
  <c r="U118" i="4"/>
  <c r="T118" i="4"/>
  <c r="T86" i="4"/>
  <c r="U86" i="4"/>
  <c r="T183" i="4"/>
  <c r="U183" i="4"/>
  <c r="U128" i="4"/>
  <c r="T128" i="4"/>
  <c r="T55" i="4"/>
  <c r="U55" i="4"/>
  <c r="U103" i="4"/>
  <c r="T103" i="4"/>
  <c r="T44" i="4"/>
  <c r="U44" i="4"/>
  <c r="T147" i="4"/>
  <c r="U147" i="4"/>
  <c r="T133" i="4"/>
  <c r="U133" i="4"/>
  <c r="T150" i="4"/>
  <c r="U150" i="4"/>
  <c r="T43" i="4"/>
  <c r="U43" i="4"/>
  <c r="T140" i="4"/>
  <c r="U140" i="4"/>
  <c r="T170" i="4"/>
  <c r="U170" i="4"/>
  <c r="T181" i="4"/>
  <c r="U181" i="4"/>
  <c r="T16" i="4"/>
  <c r="U16" i="4"/>
  <c r="T130" i="4"/>
  <c r="U130" i="4"/>
  <c r="T142" i="4"/>
  <c r="U142" i="4"/>
  <c r="U64" i="4"/>
  <c r="T64" i="4"/>
  <c r="U45" i="4"/>
  <c r="T45" i="4"/>
  <c r="U89" i="4"/>
  <c r="T89" i="4"/>
  <c r="U60" i="4"/>
  <c r="T60" i="4"/>
  <c r="T62" i="4"/>
  <c r="U62" i="4"/>
  <c r="U139" i="4"/>
  <c r="T156" i="4"/>
  <c r="U156" i="4"/>
  <c r="T70" i="4"/>
  <c r="U70" i="4"/>
  <c r="U155" i="4"/>
  <c r="T157" i="4"/>
  <c r="U157" i="4"/>
  <c r="T54" i="4"/>
  <c r="U54" i="4"/>
  <c r="U172" i="4"/>
  <c r="T71" i="4"/>
  <c r="U71" i="4"/>
  <c r="T159" i="4"/>
  <c r="U159" i="4"/>
  <c r="T20" i="4"/>
  <c r="U20" i="4"/>
  <c r="T171" i="4"/>
  <c r="U171" i="4"/>
  <c r="T13" i="4"/>
  <c r="U13" i="4"/>
  <c r="T12" i="4"/>
  <c r="U12" i="4"/>
  <c r="T67" i="4"/>
  <c r="U67" i="4"/>
  <c r="T76" i="4"/>
  <c r="U76" i="4"/>
  <c r="D15" i="6"/>
  <c r="C45" i="2"/>
  <c r="C44" i="2"/>
  <c r="C52" i="2"/>
  <c r="B7" i="2" s="1"/>
  <c r="I44" i="2"/>
  <c r="F42" i="2"/>
  <c r="F7" i="2"/>
  <c r="I42" i="2"/>
  <c r="C42" i="2"/>
  <c r="E42" i="2"/>
  <c r="E44" i="2"/>
  <c r="J7" i="2"/>
  <c r="C51" i="2"/>
  <c r="F45" i="2"/>
  <c r="I43" i="2"/>
  <c r="E45" i="2"/>
  <c r="B8" i="2"/>
  <c r="F44" i="2"/>
  <c r="L42" i="2"/>
  <c r="M42" i="2"/>
  <c r="L43" i="2"/>
  <c r="M43" i="2"/>
  <c r="M44" i="2"/>
  <c r="L44" i="2"/>
  <c r="L45" i="2"/>
  <c r="M45" i="2"/>
  <c r="L46" i="2"/>
  <c r="M46" i="2"/>
  <c r="L47" i="2"/>
  <c r="L48" i="2"/>
  <c r="M48" i="2"/>
  <c r="L49" i="2"/>
  <c r="M49" i="2"/>
  <c r="L50" i="2"/>
  <c r="M50" i="2"/>
  <c r="L51" i="2"/>
  <c r="M51" i="2"/>
  <c r="L52" i="2"/>
  <c r="M52" i="2"/>
  <c r="L53" i="2"/>
  <c r="M53" i="2"/>
  <c r="C43" i="2"/>
  <c r="E43" i="2"/>
  <c r="F43" i="2"/>
  <c r="C46" i="2"/>
  <c r="E46" i="2"/>
  <c r="F46" i="2"/>
  <c r="B9" i="8"/>
  <c r="C9" i="8"/>
  <c r="D9" i="8"/>
  <c r="E9" i="8"/>
  <c r="F9" i="8"/>
  <c r="G9" i="8"/>
  <c r="C6" i="7"/>
  <c r="J6" i="7"/>
  <c r="B6" i="7"/>
  <c r="K6" i="7"/>
  <c r="D6" i="7"/>
  <c r="B7" i="7"/>
  <c r="C7" i="7"/>
  <c r="D7" i="7"/>
  <c r="J7" i="7"/>
  <c r="K7" i="7"/>
  <c r="K8" i="7"/>
  <c r="B8" i="7"/>
  <c r="C8" i="7"/>
  <c r="D8" i="7"/>
  <c r="J8" i="7"/>
  <c r="B9" i="7"/>
  <c r="C9" i="7"/>
  <c r="D9" i="7"/>
  <c r="E16" i="6"/>
  <c r="C16" i="6"/>
  <c r="C17" i="6"/>
  <c r="D17" i="6"/>
  <c r="B18" i="6"/>
  <c r="B6" i="6"/>
  <c r="D6" i="6"/>
  <c r="C6" i="6"/>
  <c r="B7" i="6"/>
  <c r="C7" i="6"/>
  <c r="D7" i="6"/>
  <c r="C8" i="6"/>
  <c r="D8" i="6"/>
  <c r="B8" i="6"/>
  <c r="C9" i="6"/>
  <c r="B9" i="6"/>
  <c r="D9" i="6"/>
  <c r="L11" i="7" l="1"/>
  <c r="M11" i="7" s="1"/>
  <c r="C15" i="6"/>
  <c r="D7" i="2"/>
  <c r="D8" i="2" s="1"/>
  <c r="F15" i="6"/>
  <c r="C6" i="5"/>
  <c r="D6" i="5" s="1"/>
  <c r="E17" i="6"/>
  <c r="H10" i="8"/>
  <c r="C21" i="8" s="1"/>
  <c r="K21" i="8" s="1"/>
  <c r="L10" i="7"/>
  <c r="M10" i="7" s="1"/>
  <c r="L12" i="7"/>
  <c r="H6" i="8"/>
  <c r="C17" i="8" s="1"/>
  <c r="C8" i="5"/>
  <c r="D8" i="5" s="1"/>
  <c r="C14" i="5"/>
  <c r="D14" i="5" s="1"/>
  <c r="C12" i="5"/>
  <c r="D12" i="5" s="1"/>
  <c r="C5" i="5"/>
  <c r="D5" i="5" s="1"/>
  <c r="H15" i="6"/>
  <c r="E15" i="6"/>
  <c r="F6" i="6"/>
  <c r="F7" i="6"/>
  <c r="D42" i="2"/>
  <c r="B16" i="6"/>
  <c r="B19" i="6" s="1"/>
  <c r="H16" i="6"/>
  <c r="F8" i="6"/>
  <c r="F17" i="6"/>
  <c r="F19" i="6" s="1"/>
  <c r="D46" i="2"/>
  <c r="H17" i="6"/>
  <c r="G17" i="6" s="1"/>
  <c r="D44" i="2"/>
  <c r="D16" i="6"/>
  <c r="D19" i="6" s="1"/>
  <c r="F9" i="6"/>
  <c r="D18" i="6"/>
  <c r="H18" i="6"/>
  <c r="D43" i="2"/>
  <c r="C18" i="6"/>
  <c r="C19" i="6" s="1"/>
  <c r="D18" i="8"/>
  <c r="G18" i="8" s="1"/>
  <c r="H18" i="8" s="1"/>
  <c r="I18" i="8" s="1"/>
  <c r="J18" i="8" s="1"/>
  <c r="D21" i="8"/>
  <c r="C9" i="5"/>
  <c r="D9" i="5" s="1"/>
  <c r="C7" i="5"/>
  <c r="D7" i="5" s="1"/>
  <c r="F7" i="7"/>
  <c r="B23" i="8"/>
  <c r="F8" i="7"/>
  <c r="J8" i="2"/>
  <c r="F12" i="7"/>
  <c r="F6" i="7"/>
  <c r="L7" i="7"/>
  <c r="M7" i="7" s="1"/>
  <c r="I8" i="7" a="1"/>
  <c r="D20" i="8"/>
  <c r="I7" i="7" a="1"/>
  <c r="L8" i="7"/>
  <c r="M8" i="7" s="1"/>
  <c r="I9" i="7" a="1"/>
  <c r="A23" i="5" a="1"/>
  <c r="C10" i="5"/>
  <c r="D10" i="5" s="1"/>
  <c r="C11" i="5"/>
  <c r="D11" i="5" s="1"/>
  <c r="C13" i="5"/>
  <c r="D13" i="5" s="1"/>
  <c r="C16" i="5"/>
  <c r="D19" i="8"/>
  <c r="H8" i="8"/>
  <c r="C19" i="8" s="1"/>
  <c r="K18" i="8"/>
  <c r="I10" i="7" a="1"/>
  <c r="I11" i="7" a="1"/>
  <c r="H9" i="7"/>
  <c r="G9" i="7"/>
  <c r="G11" i="7"/>
  <c r="H11" i="7"/>
  <c r="D17" i="8"/>
  <c r="G15" i="6"/>
  <c r="F11" i="7"/>
  <c r="A17" i="7" a="1"/>
  <c r="D10" i="6"/>
  <c r="C25" i="6" s="1"/>
  <c r="F10" i="7"/>
  <c r="F9" i="7"/>
  <c r="I6" i="7" a="1"/>
  <c r="H7" i="7"/>
  <c r="G7" i="7"/>
  <c r="G8" i="7"/>
  <c r="H8" i="7"/>
  <c r="H6" i="7"/>
  <c r="G6" i="7"/>
  <c r="G10" i="7"/>
  <c r="H10" i="7"/>
  <c r="K17" i="8"/>
  <c r="C53" i="2"/>
  <c r="C54" i="2"/>
  <c r="C11" i="8"/>
  <c r="C12" i="8" s="1"/>
  <c r="D11" i="8"/>
  <c r="D12" i="8" s="1"/>
  <c r="E11" i="8"/>
  <c r="E12" i="8" s="1"/>
  <c r="F11" i="8"/>
  <c r="F12" i="8" s="1"/>
  <c r="G11" i="8"/>
  <c r="G12" i="8" s="1"/>
  <c r="H9" i="8"/>
  <c r="C20" i="8" s="1"/>
  <c r="B11" i="8"/>
  <c r="L6" i="7"/>
  <c r="M6" i="7" s="1"/>
  <c r="D12" i="7"/>
  <c r="B10" i="6"/>
  <c r="C10" i="6"/>
  <c r="G16" i="6" l="1"/>
  <c r="H19" i="6"/>
  <c r="E19" i="6"/>
  <c r="G18" i="6"/>
  <c r="L18" i="8"/>
  <c r="M18" i="8" s="1"/>
  <c r="F10" i="6"/>
  <c r="H6" i="6"/>
  <c r="E6" i="6"/>
  <c r="G6" i="6"/>
  <c r="G10" i="6" s="1"/>
  <c r="E7" i="6"/>
  <c r="H7" i="6"/>
  <c r="G7" i="6"/>
  <c r="E8" i="6"/>
  <c r="G8" i="6"/>
  <c r="H8" i="6"/>
  <c r="G9" i="6"/>
  <c r="H9" i="6"/>
  <c r="E9" i="6"/>
  <c r="G21" i="8"/>
  <c r="H21" i="8" s="1"/>
  <c r="G19" i="8"/>
  <c r="H19" i="8" s="1"/>
  <c r="I19" i="8" s="1"/>
  <c r="J19" i="8" s="1"/>
  <c r="L19" i="8" s="1"/>
  <c r="M19" i="8" s="1"/>
  <c r="K19" i="8"/>
  <c r="H12" i="7"/>
  <c r="G12" i="7"/>
  <c r="D22" i="8"/>
  <c r="D23" i="8" s="1"/>
  <c r="B28" i="8" s="1"/>
  <c r="I12" i="7"/>
  <c r="L8" i="2"/>
  <c r="C18" i="5"/>
  <c r="L7" i="2" s="1"/>
  <c r="G17" i="8"/>
  <c r="H17" i="8" s="1"/>
  <c r="I17" i="8" s="1"/>
  <c r="J17" i="8" s="1"/>
  <c r="C31" i="6"/>
  <c r="D31" i="6" s="1"/>
  <c r="C30" i="6"/>
  <c r="C29" i="6"/>
  <c r="D29" i="6" s="1"/>
  <c r="C28" i="6"/>
  <c r="D28" i="6" s="1"/>
  <c r="C27" i="6"/>
  <c r="D27" i="6" s="1"/>
  <c r="C26" i="6"/>
  <c r="D26" i="6" s="1"/>
  <c r="D25" i="6"/>
  <c r="G20" i="8"/>
  <c r="H20" i="8" s="1"/>
  <c r="I20" i="8" s="1"/>
  <c r="J20" i="8" s="1"/>
  <c r="K20" i="8"/>
  <c r="H8" i="2"/>
  <c r="C55" i="2"/>
  <c r="H7" i="2" s="1"/>
  <c r="H11" i="8"/>
  <c r="B12" i="8"/>
  <c r="G19" i="6"/>
  <c r="E10" i="6" l="1"/>
  <c r="B20" i="6"/>
  <c r="I6" i="6"/>
  <c r="I7" i="6"/>
  <c r="I8" i="6"/>
  <c r="H10" i="6"/>
  <c r="I9" i="6"/>
  <c r="I21" i="8"/>
  <c r="J21" i="8"/>
  <c r="L21" i="8" s="1"/>
  <c r="M21" i="8" s="1"/>
  <c r="L20" i="8"/>
  <c r="M20" i="8" s="1"/>
  <c r="D30" i="6"/>
  <c r="C32" i="6"/>
  <c r="B33" i="6" s="1"/>
  <c r="D32" i="6"/>
  <c r="I10" i="6"/>
  <c r="L17" i="8"/>
  <c r="H12" i="8"/>
  <c r="H13" i="8" s="1"/>
  <c r="C22" i="8"/>
  <c r="M17" i="8"/>
  <c r="C23" i="8" l="1"/>
  <c r="G22" i="8"/>
  <c r="K22" i="8"/>
  <c r="K23" i="8" s="1"/>
  <c r="G23" i="8" l="1"/>
  <c r="B29" i="8" s="1"/>
  <c r="H22" i="8"/>
  <c r="B24" i="8"/>
  <c r="B27" i="8"/>
  <c r="H23" i="8" l="1"/>
  <c r="I22" i="8"/>
  <c r="B30" i="8"/>
  <c r="I23" i="8" l="1"/>
  <c r="J22" i="8"/>
  <c r="L22" i="8" l="1"/>
  <c r="J23" i="8"/>
  <c r="B31" i="8" s="1"/>
  <c r="L23" i="8" l="1"/>
  <c r="M23" i="8" s="1"/>
  <c r="M2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Radosław Wojaczek</author>
  </authors>
  <commentList>
    <comment ref="B6" authorId="0" shapeId="0" xr:uid="{784CB176-4025-466A-9755-F1189B8BB87F}">
      <text>
        <r>
          <rPr>
            <b/>
            <sz val="9"/>
            <color indexed="81"/>
            <rFont val="Tahoma"/>
            <charset val="1"/>
          </rPr>
          <t>Radosław Wojaczek:</t>
        </r>
        <r>
          <rPr>
            <sz val="9"/>
            <color indexed="81"/>
            <rFont val="Tahoma"/>
            <charset val="1"/>
          </rPr>
          <t xml:space="preserve">
Source: Ministerstwo Rodziny, Pracy i Polityki Społecznej (Rozporządzenie RM z 11.09.2025, Dz.U. 2025 poz. 1242), https://www.gov.pl/web/rodzina/minimalne-wynagrodzenie-za-prace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<sst xmlns="http://schemas.openxmlformats.org/spreadsheetml/2006/main" count="1736" uniqueCount="428">
  <si>
    <t>Parametry i założenia modelu</t>
  </si>
  <si>
    <t>Niebieska czcionka na żółtym tle = dane wejściowe (można zmieniać). Wszystkie pozostałe zakładki liczą się z tych komórek.</t>
  </si>
  <si>
    <t>Parametry ogólne</t>
  </si>
  <si>
    <t>Wartość</t>
  </si>
  <si>
    <t>Data raportu</t>
  </si>
  <si>
    <t>Płaca minimalna 2026 (zł brutto, pełny etat)</t>
  </si>
  <si>
    <t>Rok budżetu</t>
  </si>
  <si>
    <t>Składki pracodawcy (% wynagrodzenia brutto)</t>
  </si>
  <si>
    <t>Stawka</t>
  </si>
  <si>
    <t>Ubezpieczenie emerytalne</t>
  </si>
  <si>
    <t>Ubezpieczenie rentowe</t>
  </si>
  <si>
    <t>Ubezpieczenie wypadkowe (stawka przyjęta)</t>
  </si>
  <si>
    <t>Fundusz Pracy</t>
  </si>
  <si>
    <t>FGŚP</t>
  </si>
  <si>
    <t>PPK – wpłata podstawowa pracodawcy</t>
  </si>
  <si>
    <t>Razem narzut pracodawcy</t>
  </si>
  <si>
    <t>Uproszczenia: pominięto limit 30-krotności dla składek emerytalno-rentowych oraz zwolnienia z FP/FGŚP (wiek 55/60+). Wypadkowa wg stawki przyjętej – w praktyce ustalana indywidualnie przez ZUS.</t>
  </si>
  <si>
    <t>Widełki płacowe – siatka zaszeregowania (pełny etat, zł brutto / mies.)</t>
  </si>
  <si>
    <t>Grupa</t>
  </si>
  <si>
    <t>Opis grupy</t>
  </si>
  <si>
    <t>Min</t>
  </si>
  <si>
    <t>Max</t>
  </si>
  <si>
    <t>Środek</t>
  </si>
  <si>
    <t>Podwyżka 2027 %</t>
  </si>
  <si>
    <t>G1</t>
  </si>
  <si>
    <t>Pracownicy pomocniczy</t>
  </si>
  <si>
    <t>G2</t>
  </si>
  <si>
    <t>Technicy / referenci</t>
  </si>
  <si>
    <t>G3</t>
  </si>
  <si>
    <t>Specjaliści (pielęgniarki, diagności)</t>
  </si>
  <si>
    <t>G4</t>
  </si>
  <si>
    <t>Starsi specjaliści / koordynatorzy</t>
  </si>
  <si>
    <t>G5</t>
  </si>
  <si>
    <t>Lekarze</t>
  </si>
  <si>
    <t>G6</t>
  </si>
  <si>
    <t>Lekarze specjaliści / kierownicy</t>
  </si>
  <si>
    <t>Słowniki (listy rozwijane i raporty)</t>
  </si>
  <si>
    <t>Placówka</t>
  </si>
  <si>
    <t>Katowice</t>
  </si>
  <si>
    <t>Kraków</t>
  </si>
  <si>
    <t>Ustroń</t>
  </si>
  <si>
    <t>Bielsko-Biała</t>
  </si>
  <si>
    <t>Dział</t>
  </si>
  <si>
    <t>Kardiologia</t>
  </si>
  <si>
    <t>Kardiochirurgia</t>
  </si>
  <si>
    <t>Chirurgia naczyniowa</t>
  </si>
  <si>
    <t>Laboratorium</t>
  </si>
  <si>
    <t>Administracja</t>
  </si>
  <si>
    <t>ID_Pracownika</t>
  </si>
  <si>
    <t>Stanowisko</t>
  </si>
  <si>
    <t>Płeć</t>
  </si>
  <si>
    <t>Data_zatrudnienia</t>
  </si>
  <si>
    <t>Typ_umowy</t>
  </si>
  <si>
    <t>Etat</t>
  </si>
  <si>
    <t>Wynagrodzenie_zasadnicze</t>
  </si>
  <si>
    <t>Dodatek_funkcyjny</t>
  </si>
  <si>
    <t>Status</t>
  </si>
  <si>
    <t>Data_zwolnienia</t>
  </si>
  <si>
    <t>P1001</t>
  </si>
  <si>
    <t>Opiekun medyczny</t>
  </si>
  <si>
    <t>M</t>
  </si>
  <si>
    <t>Na czas nieokreślony</t>
  </si>
  <si>
    <t>Aktywny</t>
  </si>
  <si>
    <t>P1002</t>
  </si>
  <si>
    <t>Diagnosta laboratoryjny</t>
  </si>
  <si>
    <t>P1003</t>
  </si>
  <si>
    <t>Pielęgniarka / pielęgniarz</t>
  </si>
  <si>
    <t>K</t>
  </si>
  <si>
    <t>Na czas określony</t>
  </si>
  <si>
    <t>P1004</t>
  </si>
  <si>
    <t>Lekarz rezydent</t>
  </si>
  <si>
    <t>Na okres próbny</t>
  </si>
  <si>
    <t>P1005</t>
  </si>
  <si>
    <t>Referent</t>
  </si>
  <si>
    <t>P1006</t>
  </si>
  <si>
    <t>P1007</t>
  </si>
  <si>
    <t>Kierownik administracyjny</t>
  </si>
  <si>
    <t>P1008</t>
  </si>
  <si>
    <t>Lekarz specjalista</t>
  </si>
  <si>
    <t>P1009</t>
  </si>
  <si>
    <t>Rejestratorka / rejestrator medyczny</t>
  </si>
  <si>
    <t>P1010</t>
  </si>
  <si>
    <t>P1011</t>
  </si>
  <si>
    <t>Zwolniony</t>
  </si>
  <si>
    <t>P1012</t>
  </si>
  <si>
    <t>P1013</t>
  </si>
  <si>
    <t>P1014</t>
  </si>
  <si>
    <t>P1015</t>
  </si>
  <si>
    <t>Koordynator pielęgniarek</t>
  </si>
  <si>
    <t>P1016</t>
  </si>
  <si>
    <t>P1017</t>
  </si>
  <si>
    <t>P1018</t>
  </si>
  <si>
    <t>P1019</t>
  </si>
  <si>
    <t>P1020</t>
  </si>
  <si>
    <t>Specjalista ds. kadr i płac</t>
  </si>
  <si>
    <t>P1021</t>
  </si>
  <si>
    <t>P1022</t>
  </si>
  <si>
    <t>Pielęgniarka anestezjologiczna</t>
  </si>
  <si>
    <t>P1023</t>
  </si>
  <si>
    <t>Technik analityki medycznej</t>
  </si>
  <si>
    <t>P1024</t>
  </si>
  <si>
    <t>Kierownik laboratorium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</si>
  <si>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</si>
  <si>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</si>
  <si>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</si>
  <si>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</si>
  <si>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</si>
  <si>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</si>
  <si>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</si>
  <si>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</si>
  <si>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</si>
  <si>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</si>
  <si>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</si>
  <si>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</si>
  <si>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</si>
  <si>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</si>
  <si>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Lekarz kierujący oddziałem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</si>
  <si>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</si>
  <si>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</si>
  <si>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</si>
  <si>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</si>
  <si>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</si>
  <si>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</si>
  <si>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</si>
  <si>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</si>
  <si>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Perfuzjonista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</si>
  <si>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</si>
  <si>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</si>
  <si>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</si>
  <si>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</si>
  <si>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</si>
  <si>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</si>
  <si>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</si>
  <si>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</si>
  <si>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</si>
  <si>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</si>
  <si>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</si>
  <si>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</si>
  <si>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</si>
  <si>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</si>
  <si>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</si>
  <si>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</si>
  <si>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</si>
  <si>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</si>
  <si>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</si>
  <si>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</si>
  <si>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</si>
  <si>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</si>
  <si>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</si>
  <si>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</si>
  <si>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</si>
  <si>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</si>
  <si>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</si>
  <si>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</si>
  <si>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</si>
  <si>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</si>
  <si>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</si>
  <si>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</si>
  <si>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</si>
  <si>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</si>
  <si>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</si>
  <si>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</si>
  <si>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</si>
  <si>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</si>
  <si>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</si>
  <si>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</si>
  <si>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</si>
  <si>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</si>
  <si>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</si>
  <si>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</si>
  <si>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</si>
  <si>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</si>
  <si>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</si>
  <si>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</si>
  <si>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</si>
  <si>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</si>
  <si>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</si>
  <si>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</si>
  <si>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</si>
  <si>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</si>
  <si>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</si>
  <si>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</si>
  <si>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</si>
  <si>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</si>
  <si>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</si>
  <si>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</si>
  <si>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</si>
  <si>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</si>
  <si>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</si>
  <si>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</si>
  <si>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</si>
  <si>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</si>
  <si>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</si>
  <si>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</si>
  <si>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</si>
  <si>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</si>
  <si>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</si>
  <si>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</si>
  <si>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</si>
  <si>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</si>
  <si>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</si>
  <si>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</si>
  <si>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</si>
  <si>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</si>
  <si>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</si>
  <si>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</si>
  <si>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</si>
  <si>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</si>
  <si>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</si>
  <si>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</si>
  <si>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</si>
  <si>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</si>
  <si>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</si>
  <si>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</si>
  <si>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</si>
  <si>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</si>
  <si>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</si>
  <si>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</si>
  <si>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</si>
  <si>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</si>
  <si>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</si>
  <si>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</si>
  <si>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</si>
  <si>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</si>
  <si>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</si>
  <si>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</si>
  <si>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</si>
  <si>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</si>
  <si>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</si>
  <si>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</si>
  <si>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</si>
  <si>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</si>
  <si>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</si>
  <si>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</si>
  <si>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</si>
  <si>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</si>
  <si>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</si>
  <si>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</si>
  <si>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</si>
  <si>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</si>
  <si>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</si>
  <si>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</si>
  <si>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</si>
  <si>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</si>
  <si>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</si>
  <si>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</si>
  <si>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</si>
  <si>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</si>
  <si>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</si>
  <si>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</si>
  <si>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</si>
  <si>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</si>
  <si>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</si>
  <si>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</si>
  <si>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</si>
  <si>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</si>
  <si>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</si>
  <si>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</si>
  <si>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</si>
  <si>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</si>
  <si>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</si>
  <si>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</si>
  <si>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</si>
  <si>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Brutto_mies</t>
  </si>
  <si>
    <t>Stawka_pełny_etat</t>
  </si>
  <si>
    <t>Aktywny_na_dzień</t>
  </si>
  <si>
    <t>Staż_lat</t>
  </si>
  <si>
    <t>Koszt_pracodawcy_mies</t>
  </si>
  <si>
    <t>Środek_widełek</t>
  </si>
  <si>
    <t>Compa_ratio</t>
  </si>
  <si>
    <t>Pozycja_w_widełkach</t>
  </si>
  <si>
    <t>Uwagi_QC</t>
  </si>
  <si>
    <t>Dane kadrowo-płacowe – eksport z systemu HR (dane fikcyjne)</t>
  </si>
  <si>
    <t>Kolumny A–M: dane źródłowe (eksport). Kolumny N–V (szare nagłówki): kolumny wyliczane formułami. Dane spseudonimizowane – tylko ID pracownika (RODO).</t>
  </si>
  <si>
    <t>Kontrola jakości danych kadrowych</t>
  </si>
  <si>
    <t>Automatyczna walidacja eksportu z systemu HR przed raportowaniem. Reguły liczone z kolumny Uwagi_QC w tabeli tblKadry.</t>
  </si>
  <si>
    <t>Reguła walidacji</t>
  </si>
  <si>
    <t>Opis / podstawa</t>
  </si>
  <si>
    <t>Liczba rekordów</t>
  </si>
  <si>
    <t>Duplikat ID</t>
  </si>
  <si>
    <t>Ten sam identyfikator występuje więcej niż raz</t>
  </si>
  <si>
    <t>Brak działu</t>
  </si>
  <si>
    <t>Pole Dział jest puste</t>
  </si>
  <si>
    <t>Brak wynagrodzenia</t>
  </si>
  <si>
    <t>Brak kwoty wynagrodzenia zasadniczego</t>
  </si>
  <si>
    <t>Poniżej płacy minimalnej</t>
  </si>
  <si>
    <t>Brutto &lt; płaca minimalna × etat (ustawa o minimalnym wynagrodzeniu)</t>
  </si>
  <si>
    <t>Nieprawidłowy etat</t>
  </si>
  <si>
    <t>Wymiar etatu ≤ 0 lub &gt; 1</t>
  </si>
  <si>
    <t>Data zatrudnienia w przyszłości</t>
  </si>
  <si>
    <t>Data zatrudnienia późniejsza niż data raportu</t>
  </si>
  <si>
    <t>Brak daty zwolnienia</t>
  </si>
  <si>
    <t>Status Zwolniony bez daty rozwiązania umowy</t>
  </si>
  <si>
    <t>Aktywny z datą zwolnienia</t>
  </si>
  <si>
    <t>Status Aktywny, ale wpisana data zwolnienia</t>
  </si>
  <si>
    <t>Umowa terminowa &gt; 33 mies. (art. 25¹ KP)</t>
  </si>
  <si>
    <t>Umowa na czas określony dłuższa niż 33 miesiące</t>
  </si>
  <si>
    <t>Okres próbny &gt; 3 mies. (art. 25 KP)</t>
  </si>
  <si>
    <t>Umowa na okres próbny dłuższa niż 3 miesiące</t>
  </si>
  <si>
    <t>Rekordy z co najmniej jedną uwagą</t>
  </si>
  <si>
    <t>Liczba rekordów w eksporcie</t>
  </si>
  <si>
    <t>Wskaźnik jakości danych</t>
  </si>
  <si>
    <t>Lista rekordów do weryfikacji (aktualizuje się automatycznie)</t>
  </si>
  <si>
    <t>ID</t>
  </si>
  <si>
    <t>Wynagrodzenie</t>
  </si>
  <si>
    <t>Uwagi QC</t>
  </si>
  <si>
    <t>Koszty pracy – aktywni pracownicy</t>
  </si>
  <si>
    <t>1. Podsumowanie wg placówki</t>
  </si>
  <si>
    <t>Osoby</t>
  </si>
  <si>
    <t>FTE</t>
  </si>
  <si>
    <t>Fundusz wynagrodzeń (mies.)</t>
  </si>
  <si>
    <t>Narzuty pracodawcy (mies.)</t>
  </si>
  <si>
    <t>Koszt całkowity (mies.)</t>
  </si>
  <si>
    <t>Koszt całkowity (rok)</t>
  </si>
  <si>
    <t>Śr. koszt / FTE (mies.)</t>
  </si>
  <si>
    <t>Udział w koszcie</t>
  </si>
  <si>
    <t>Razem</t>
  </si>
  <si>
    <t>2. Koszt całkowity pracodawcy (mies.) – placówka × dział</t>
  </si>
  <si>
    <t>Nieprzypisane</t>
  </si>
  <si>
    <t>Kontrola uzgodnienia (sekcja 2 – sekcja 1)</t>
  </si>
  <si>
    <t>3. Struktura kosztu pracodawcy (mies.)</t>
  </si>
  <si>
    <t>Składnik</t>
  </si>
  <si>
    <t>Kwota (mies.)</t>
  </si>
  <si>
    <t>Kwota (rok)</t>
  </si>
  <si>
    <t>Wynagrodzenia brutto</t>
  </si>
  <si>
    <t>Koszt całkowity</t>
  </si>
  <si>
    <t>Kontrola uzgodnienia (sekcja 3 – sekcja 1)</t>
  </si>
  <si>
    <t>Nieprzypisane = rekordy bez działu (patrz Kontrola_Jakości) – pokazane osobno, aby suma się uzgadniała.</t>
  </si>
  <si>
    <t>Przegląd wynagrodzeń – widełki, compa-ratio i luka płacowa K/M</t>
  </si>
  <si>
    <t>Stawki przeliczone na pełny etat, tylko aktywni pracownicy. Compa-ratio = stawka / środek widełek (1,00 = środek).</t>
  </si>
  <si>
    <t>1. Pozycja wynagrodzeń względem siatki płac</t>
  </si>
  <si>
    <t>Min widełek</t>
  </si>
  <si>
    <t>Max widełek</t>
  </si>
  <si>
    <t>Mediana stawki</t>
  </si>
  <si>
    <t>Śr. compa-ratio</t>
  </si>
  <si>
    <t>Poniżej widełek</t>
  </si>
  <si>
    <t>Powyżej widełek</t>
  </si>
  <si>
    <t>Koszt wyrównania do min (mies.)</t>
  </si>
  <si>
    <t>Śr. stawka K</t>
  </si>
  <si>
    <t>Śr. stawka M</t>
  </si>
  <si>
    <t>Luka płacowa (M–K)/M</t>
  </si>
  <si>
    <t>Próg 5% (dyrektywa UE 2023/970)</t>
  </si>
  <si>
    <t>Luka w grupie ≥ 5% bez obiektywnego uzasadnienia oznacza obowiązek wspólnej oceny wynagrodzeń (art. 10 dyrektywy 2023/970). Luka „Razem” jest nieskorygowana – wynika głównie ze struktury zatrudnienia.</t>
  </si>
  <si>
    <t>2. Pracownicy poniżej widełek – lista do przeglądu wynagrodzeń (sortowanie wg compa-ratio)</t>
  </si>
  <si>
    <t>Stawka (pełny etat)</t>
  </si>
  <si>
    <t>Compa-ratio</t>
  </si>
  <si>
    <t>Baza = run-rate aktywnych pracowników na dzień raportu × 12. Podwyżki wg grup z zakładki Parametry; nowe etaty i miesiące – dane wejściowe.</t>
  </si>
  <si>
    <t>1. Fundusz wynagrodzeń brutto (mies.) wg działu i grupy – stan obecny</t>
  </si>
  <si>
    <t>2. Budżet roczny: 2026 (run-rate) vs 2027</t>
  </si>
  <si>
    <t>FTE obecnie</t>
  </si>
  <si>
    <t>Fundusz 2026 (rok)</t>
  </si>
  <si>
    <t>Efekt podwyżek</t>
  </si>
  <si>
    <t>Nowe etaty (FTE)</t>
  </si>
  <si>
    <t>Mies. pracy nowych</t>
  </si>
  <si>
    <t>Fundusz nowych etatów</t>
  </si>
  <si>
    <t>Fundusz 2027</t>
  </si>
  <si>
    <t>Narzuty 2027</t>
  </si>
  <si>
    <t>Koszt całkowity 2027</t>
  </si>
  <si>
    <t>Koszt całkowity 2026</t>
  </si>
  <si>
    <t>Zmiana r/r</t>
  </si>
  <si>
    <t>Zmiana %</t>
  </si>
  <si>
    <t>Kontrola: koszt 2026 vs Koszty_Pracy (rok)</t>
  </si>
  <si>
    <t>3. Most kosztów 2026 → 2027 (rok)</t>
  </si>
  <si>
    <t>Podwyżki (z narzutami)</t>
  </si>
  <si>
    <t>Nowe etaty (z narzutami)</t>
  </si>
  <si>
    <t>Kontrola</t>
  </si>
  <si>
    <t>Filtr dashboardu</t>
  </si>
  <si>
    <t>Wszystkie</t>
  </si>
  <si>
    <t>Dashboard HR – sieć placówek medycznych</t>
  </si>
  <si>
    <t>Placówka:</t>
  </si>
  <si>
    <t>◄ wybierz z listy</t>
  </si>
  <si>
    <t>kryterium:</t>
  </si>
  <si>
    <t>Obliczenia pomocnicze (źródło wykresów i kafelków) – reagują na filtr placówki</t>
  </si>
  <si>
    <t>Koszt pracodawcy (mies.)</t>
  </si>
  <si>
    <t>Typ umowy</t>
  </si>
  <si>
    <t>Miesiąc</t>
  </si>
  <si>
    <t>Przyjęcia</t>
  </si>
  <si>
    <t>Odejścia</t>
  </si>
  <si>
    <t>Wskaźniki rotacji</t>
  </si>
  <si>
    <t>Początek roku</t>
  </si>
  <si>
    <t>Stan na początek roku</t>
  </si>
  <si>
    <t>Stan na dzień raportu</t>
  </si>
  <si>
    <t>Odejścia YTD</t>
  </si>
  <si>
    <t>Przyjęcia YTD</t>
  </si>
  <si>
    <t>Rotacja YTD</t>
  </si>
  <si>
    <t>Zatrudnienie (osoby)</t>
  </si>
  <si>
    <t>Koszt pracodawcy / mies.</t>
  </si>
  <si>
    <t>Śr. wynagrodzenie (etat)</t>
  </si>
  <si>
    <t>Jakość danych</t>
  </si>
  <si>
    <t>Luka płacowa K/M (nieskoryg.)</t>
  </si>
  <si>
    <t>Controlling personalny – sieć placówek medycznych</t>
  </si>
  <si>
    <t>Projekt portfolio: raportowanie danych HR w MS Excel (dane w pełni fikcyjne)</t>
  </si>
  <si>
    <t>Cel projektu</t>
  </si>
  <si>
    <t>Problem</t>
  </si>
  <si>
    <t>Dział HR otrzymuje surowy eksport kadrowo-płacowy z systemu HR (np. enova365) dla 4 placówek. Przed raportowaniem trzeba zweryfikować dane, policzyć koszty pracy, ocenić wynagrodzenia względem siatki płac i przygotować budżet na kolejny rok.</t>
  </si>
  <si>
    <t>Rozwiązanie</t>
  </si>
  <si>
    <t>Zintegrowany skoroszyt, w którym jeden eksport zasila wszystkie raporty. Zmiana danych lub założeń (np. płacy minimalnej, składek, podwyżek) automatycznie aktualizuje cały model.</t>
  </si>
  <si>
    <t>Struktura skoroszytu</t>
  </si>
  <si>
    <t>Dashboard</t>
  </si>
  <si>
    <t>Kafelki KPI (zatrudnienie, FTE, koszt pracy, średnie wynagrodzenie, rotacja, luka płacowa, jakość danych) i 4 wykresy. Filtr placówki z listy rozwijanej.</t>
  </si>
  <si>
    <t>Parametry</t>
  </si>
  <si>
    <t>Wszystkie założenia w jednym miejscu: data raportu, płaca minimalna 2026, składki pracodawcy (ZUS, FP, FGŚP, PPK), siatka płac G1–G6 i podwyżki na 2027.</t>
  </si>
  <si>
    <t>Dane_Kadrowe</t>
  </si>
  <si>
    <t>Tabela tblKadry (184 rekordy) – dane źródłowe + kolumny wyliczane (stawka na pełny etat, koszt pracodawcy, staż, compa-ratio, uwagi QC). Dane spseudonimizowane (tylko ID).</t>
  </si>
  <si>
    <t>Kontrola_Jakości</t>
  </si>
  <si>
    <t>10 reguł walidacji, m.in. duplikaty, braki, płaca poniżej minimalnej, nieprawidłowy etat, niespójny status oraz zgodność z Kodeksem pracy (art. 25 i 25¹ KP). Automatyczna lista rekordów do poprawy.</t>
  </si>
  <si>
    <t>Koszty_Pracy</t>
  </si>
  <si>
    <t>Koszt pracodawcy wg placówek i działów, struktura składek, uzgodnienia kontrolne (sumy kontrolne = 0).</t>
  </si>
  <si>
    <t>Przegląd_Wynagrodzeń</t>
  </si>
  <si>
    <t>Pozycja w widełkach, compa-ratio, koszt wyrównania do minimum widełek, luka płacowa K/M z progiem 5% (dyrektywa UE 2023/970 o jawności wynagrodzeń), lista osób do przeglądu.</t>
  </si>
  <si>
    <t>Budżet_2027</t>
  </si>
  <si>
    <t>Plan kosztów pracy: efekt podwyżek wg grup, nowe etaty (FTE × miesiące), porównanie r/r i most kosztów 2026 → 2027.</t>
  </si>
  <si>
    <t>Użyte techniki Excel</t>
  </si>
  <si>
    <t>Formuły</t>
  </si>
  <si>
    <t>XLOOKUP, SUMIFS / COUNTIFS / AVERAGEIFS, SUMPRODUCT, FILTER, SORT, CHOOSECOLS, TEXTJOIN, YEARFRAC, EOMONTH, MEDIAN</t>
  </si>
  <si>
    <t>Struktura</t>
  </si>
  <si>
    <t>Tabele z odwołaniami strukturalnymi, nazwy zakresów (pDataRaportu, pPlacaMin, pNarzut), sprawdzanie poprawności danych (lista rozwijana), formuły dynamiczne, sumy kontrolne</t>
  </si>
  <si>
    <t>Wizualizacja</t>
  </si>
  <si>
    <t>Formatowanie warunkowe (flagi błędów, skale kolorów, paski danych), wykresy reagujące na filtr, czytelny układ kafelków KPI</t>
  </si>
  <si>
    <t>Jak czytać kolory</t>
  </si>
  <si>
    <t>Niebieski na żółtym</t>
  </si>
  <si>
    <t>Dane wejściowe / założenia – można je zmieniać</t>
  </si>
  <si>
    <t>Czarny</t>
  </si>
  <si>
    <t>Formuły i obliczenia</t>
  </si>
  <si>
    <t>Zielony</t>
  </si>
  <si>
    <t>Powiązania z innymi arkuszami</t>
  </si>
  <si>
    <t>Uproszczenia</t>
  </si>
  <si>
    <t>Pominięto limit 30-krotności dla składek emerytalno-rentowych i zwolnienia z FP/FGŚP (wiek 55/60+). Stopa wypadkowa przyjęta umownie. Dane zawierają celowo wprowadzone błędy, które wychwytuje zakładka Kontrola_Jakości.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</si>
</sst>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#,##0\ &quot;zł&quot;"/>
    <numFmt numFmtId="166" formatCode="0.0%"/>
    <numFmt numFmtId="167" formatCode="#,##0\ &quot;zł&quot;;\(#,##0\ &quot;zł&quot;\);&quot;-&quot;"/>
    <numFmt numFmtId="168" formatCode="0.0"/>
    <numFmt numFmtId="169" formatCode="0.0%;\-0.0%;\-"/>
    <numFmt numFmtId="170" formatCode="mmm"/>
  </numFmts>
  <fonts count="30" x14ac:knownFonts="1">
    <font>
      <sz val="11"/>
      <color theme="1"/>
      <name val="Aptos Narrow"/>
      <family val="2"/>
      <charset val="238"/>
      <scheme val="minor"/>
    </font>
    <font>
      <sz val="10"/>
      <color theme="1"/>
      <name val="Calibri"/>
    </font>
    <font>
      <u/>
      <sz val="11"/>
      <color theme="10"/>
      <name val="Aptos Narrow"/>
      <family val="2"/>
      <charset val="238"/>
      <scheme val="minor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sz val="10"/>
      <color rgb="FF0000FF"/>
      <name val="Calibri"/>
    </font>
    <font>
      <b/>
      <sz val="10"/>
      <color theme="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1F3864"/>
      <name val="Calibri"/>
    </font>
    <font>
      <b/>
      <sz val="11"/>
      <color rgb="FF1F3864"/>
      <name val="Calibri"/>
    </font>
    <font>
      <i/>
      <sz val="10"/>
      <color theme="1"/>
      <name val="Calibri"/>
    </font>
    <font>
      <sz val="10"/>
      <color rgb="FFC00000"/>
      <name val="Calibri"/>
    </font>
    <font>
      <sz val="10"/>
      <color rgb="FF008000"/>
      <name val="Calibri"/>
    </font>
    <font>
      <b/>
      <sz val="10"/>
      <color rgb="FF008000"/>
      <name val="Calibri"/>
    </font>
    <font>
      <i/>
      <sz val="10"/>
      <color rgb="FF008000"/>
      <name val="Calibri"/>
    </font>
    <font>
      <sz val="10"/>
      <color rgb="FF000000"/>
      <name val="Calibri"/>
    </font>
    <font>
      <sz val="9"/>
      <color rgb="FF595959"/>
      <name val="Aptos Narrow"/>
      <family val="2"/>
      <charset val="238"/>
      <scheme val="minor"/>
    </font>
    <font>
      <b/>
      <sz val="18"/>
      <color rgb="FF1F3864"/>
      <name val="Aptos Narrow"/>
      <family val="2"/>
      <charset val="238"/>
      <scheme val="minor"/>
    </font>
    <font>
      <sz val="8"/>
      <color rgb="FF7F7F7F"/>
      <name val="Aptos Narrow"/>
      <family val="2"/>
      <charset val="238"/>
      <scheme val="minor"/>
    </font>
    <font>
      <b/>
      <sz val="18"/>
      <color rgb="FF1F3864"/>
      <name val="Calibri"/>
    </font>
    <font>
      <b/>
      <sz val="11"/>
      <color rgb="FF0000FF"/>
      <name val="Aptos Narrow"/>
      <family val="2"/>
      <charset val="238"/>
      <scheme val="minor"/>
    </font>
    <font>
      <i/>
      <sz val="10"/>
      <color rgb="FF7F7F7F"/>
      <name val="Calibri"/>
    </font>
    <font>
      <sz val="8"/>
      <color rgb="FFA6A6A6"/>
      <name val="Calibri"/>
    </font>
    <font>
      <b/>
      <sz val="20"/>
      <color rgb="FF1F3864"/>
      <name val="Calibri"/>
    </font>
    <font>
      <i/>
      <sz val="12"/>
      <color rgb="FF595959"/>
      <name val="Calibri"/>
    </font>
    <font>
      <b/>
      <sz val="11"/>
      <color rgb="FFFFFFFF"/>
      <name val="Calibri"/>
    </font>
    <font>
      <b/>
      <sz val="10"/>
      <color rgb="FF0000FF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5FA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rgb="FFBFC9D9"/>
      </bottom>
      <diagonal/>
    </border>
    <border>
      <left style="thin">
        <color rgb="FFBFC9D9"/>
      </left>
      <right/>
      <top/>
      <bottom/>
      <diagonal/>
    </border>
    <border>
      <left style="thin">
        <color rgb="FFBFC9D9"/>
      </left>
      <right/>
      <top/>
      <bottom style="thin">
        <color rgb="FFBFC9D9"/>
      </bottom>
      <diagonal/>
    </border>
    <border>
      <left/>
      <right style="thin">
        <color rgb="FFBFC9D9"/>
      </right>
      <top/>
      <bottom/>
      <diagonal/>
    </border>
    <border>
      <left/>
      <right style="thin">
        <color rgb="FFBFC9D9"/>
      </right>
      <top/>
      <bottom style="thin">
        <color rgb="FFBFC9D9"/>
      </bottom>
      <diagonal/>
    </border>
    <border>
      <left style="thin">
        <color rgb="FFBFC9D9"/>
      </left>
      <right/>
      <top style="thick">
        <color rgb="FF1F3864"/>
      </top>
      <bottom/>
      <diagonal/>
    </border>
    <border>
      <left/>
      <right style="thin">
        <color rgb="FFBFC9D9"/>
      </right>
      <top style="thick">
        <color rgb="FF1F3864"/>
      </top>
      <bottom/>
      <diagonal/>
    </border>
    <border>
      <left/>
      <right/>
      <top style="thick">
        <color rgb="FF1F3864"/>
      </top>
      <bottom/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6" fillId="3" borderId="0" xfId="0" applyNumberFormat="1" applyFont="1" applyFill="1"/>
    <xf numFmtId="165" fontId="6" fillId="3" borderId="0" xfId="0" applyNumberFormat="1" applyFont="1" applyFill="1"/>
    <xf numFmtId="49" fontId="6" fillId="3" borderId="0" xfId="0" applyNumberFormat="1" applyFont="1" applyFill="1"/>
    <xf numFmtId="0" fontId="7" fillId="0" borderId="0" xfId="0" applyFont="1"/>
    <xf numFmtId="10" fontId="7" fillId="0" borderId="2" xfId="0" applyNumberFormat="1" applyFont="1" applyBorder="1"/>
    <xf numFmtId="10" fontId="6" fillId="3" borderId="0" xfId="0" applyNumberFormat="1" applyFont="1" applyFill="1"/>
    <xf numFmtId="0" fontId="10" fillId="0" borderId="0" xfId="0" applyFont="1"/>
    <xf numFmtId="0" fontId="1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6" fontId="6" fillId="3" borderId="0" xfId="0" applyNumberFormat="1" applyFont="1" applyFill="1"/>
    <xf numFmtId="0" fontId="12" fillId="0" borderId="0" xfId="0" applyFont="1"/>
    <xf numFmtId="164" fontId="1" fillId="0" borderId="0" xfId="0" applyNumberFormat="1" applyFont="1"/>
    <xf numFmtId="2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3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7" fillId="5" borderId="5" xfId="0" applyFont="1" applyFill="1" applyBorder="1"/>
    <xf numFmtId="10" fontId="7" fillId="5" borderId="5" xfId="0" applyNumberFormat="1" applyFont="1" applyFill="1" applyBorder="1"/>
    <xf numFmtId="1" fontId="7" fillId="5" borderId="5" xfId="0" applyNumberFormat="1" applyFont="1" applyFill="1" applyBorder="1"/>
    <xf numFmtId="2" fontId="7" fillId="5" borderId="5" xfId="0" applyNumberFormat="1" applyFont="1" applyFill="1" applyBorder="1"/>
    <xf numFmtId="167" fontId="7" fillId="5" borderId="5" xfId="0" applyNumberFormat="1" applyFont="1" applyFill="1" applyBorder="1"/>
    <xf numFmtId="166" fontId="7" fillId="5" borderId="5" xfId="0" applyNumberFormat="1" applyFont="1" applyFill="1" applyBorder="1"/>
    <xf numFmtId="0" fontId="14" fillId="0" borderId="0" xfId="0" applyFont="1"/>
    <xf numFmtId="10" fontId="14" fillId="0" borderId="0" xfId="0" applyNumberFormat="1" applyFont="1"/>
    <xf numFmtId="167" fontId="12" fillId="0" borderId="0" xfId="0" applyNumberFormat="1" applyFont="1"/>
    <xf numFmtId="0" fontId="5" fillId="2" borderId="0" xfId="0" applyFont="1" applyFill="1" applyAlignment="1">
      <alignment horizontal="center" vertical="center" wrapText="1"/>
    </xf>
    <xf numFmtId="0" fontId="7" fillId="5" borderId="1" xfId="0" applyFont="1" applyFill="1" applyBorder="1"/>
    <xf numFmtId="167" fontId="7" fillId="5" borderId="1" xfId="0" applyNumberFormat="1" applyFont="1" applyFill="1" applyBorder="1"/>
    <xf numFmtId="2" fontId="7" fillId="5" borderId="1" xfId="0" applyNumberFormat="1" applyFont="1" applyFill="1" applyBorder="1"/>
    <xf numFmtId="167" fontId="14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67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169" fontId="7" fillId="5" borderId="1" xfId="0" applyNumberFormat="1" applyFont="1" applyFill="1" applyBorder="1" applyAlignment="1">
      <alignment horizontal="center"/>
    </xf>
    <xf numFmtId="166" fontId="12" fillId="0" borderId="0" xfId="0" applyNumberFormat="1" applyFont="1"/>
    <xf numFmtId="166" fontId="16" fillId="0" borderId="0" xfId="0" applyNumberFormat="1" applyFont="1"/>
    <xf numFmtId="168" fontId="7" fillId="5" borderId="1" xfId="0" applyNumberFormat="1" applyFont="1" applyFill="1" applyBorder="1"/>
    <xf numFmtId="1" fontId="7" fillId="5" borderId="1" xfId="0" applyNumberFormat="1" applyFont="1" applyFill="1" applyBorder="1"/>
    <xf numFmtId="166" fontId="7" fillId="5" borderId="1" xfId="0" applyNumberFormat="1" applyFont="1" applyFill="1" applyBorder="1"/>
    <xf numFmtId="168" fontId="6" fillId="3" borderId="0" xfId="0" applyNumberFormat="1" applyFont="1" applyFill="1"/>
    <xf numFmtId="1" fontId="6" fillId="3" borderId="0" xfId="0" applyNumberFormat="1" applyFont="1" applyFill="1"/>
    <xf numFmtId="0" fontId="17" fillId="0" borderId="0" xfId="0" applyFont="1"/>
    <xf numFmtId="170" fontId="1" fillId="0" borderId="0" xfId="0" applyNumberFormat="1" applyFont="1"/>
    <xf numFmtId="0" fontId="0" fillId="6" borderId="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1" fontId="19" fillId="6" borderId="7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165" fontId="19" fillId="6" borderId="7" xfId="0" applyNumberFormat="1" applyFont="1" applyFill="1" applyBorder="1" applyAlignment="1">
      <alignment horizontal="center"/>
    </xf>
    <xf numFmtId="166" fontId="19" fillId="6" borderId="7" xfId="0" applyNumberFormat="1" applyFont="1" applyFill="1" applyBorder="1" applyAlignment="1">
      <alignment horizontal="center"/>
    </xf>
    <xf numFmtId="0" fontId="21" fillId="0" borderId="0" xfId="0" applyFont="1"/>
    <xf numFmtId="0" fontId="7" fillId="0" borderId="0" xfId="0" applyFont="1" applyAlignment="1">
      <alignment horizontal="right"/>
    </xf>
    <xf numFmtId="0" fontId="22" fillId="3" borderId="14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right"/>
    </xf>
    <xf numFmtId="0" fontId="1" fillId="0" borderId="16" xfId="0" applyFont="1" applyBorder="1"/>
    <xf numFmtId="0" fontId="25" fillId="0" borderId="0" xfId="0" applyFont="1"/>
    <xf numFmtId="0" fontId="26" fillId="0" borderId="0" xfId="0" applyFont="1"/>
    <xf numFmtId="0" fontId="27" fillId="2" borderId="0" xfId="0" applyFont="1" applyFill="1"/>
    <xf numFmtId="0" fontId="1" fillId="0" borderId="0" xfId="0" applyFont="1" applyAlignment="1">
      <alignment vertical="top" wrapText="1"/>
    </xf>
    <xf numFmtId="0" fontId="27" fillId="2" borderId="0" xfId="0" applyFont="1" applyFill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8" fillId="3" borderId="3" xfId="0" applyFont="1" applyFill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29" fillId="0" borderId="4" xfId="0" applyFont="1" applyBorder="1" applyAlignment="1">
      <alignment vertical="top" wrapText="1"/>
    </xf>
    <xf numFmtId="0" fontId="2" fillId="0" borderId="3" xfId="1" applyBorder="1" applyAlignment="1">
      <alignment vertical="top" wrapText="1"/>
    </xf>
    <xf numFmtId="0" fontId="2" fillId="0" borderId="4" xfId="1" applyBorder="1" applyAlignment="1">
      <alignment vertical="top" wrapText="1"/>
    </xf>
    <xf numFmtId="4" fontId="1" fillId="0" borderId="0" xfId="0" applyNumberFormat="1" applyFont="1"/>
  </cellXfs>
  <cellStyles count="2">
    <cellStyle name="Hiperłącze" xfId="1" builtinId="8"/>
    <cellStyle name="Normalny" xfId="0" builtinId="0"/>
  </cellStyles>
  <dxfs count="4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</dxf>
    <dxf>
      <fill>
        <patternFill patternType="solid">
          <fgColor indexed="64"/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#,##0\ &quot;zł&quot;;\(#,##0\ &quot;zł&quot;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#,##0\ &quot;zł&quot;;\(#,##0\ &quot;zł&quot;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#,##0\ &quot;zł&quot;;\(#,##0\ &quot;zł&quot;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#,##0\ &quot;zł&quot;;\(#,##0\ &quot;zł&quot;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#,##0\ &quot;zł&quot;;\(#,##0\ &quot;zł&quot;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#,##0\ &quot;zł&quot;;\(#,##0\ &quot;zł&quot;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6" formatCode="0.0%"/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5" formatCode="#,##0\ &quot;zł&quot;"/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5" formatCode="#,##0\ &quot;zł&quot;"/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#,##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Koszt pracodawcy (mies., zł) wg działu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Koszt pracodawcy (mies.)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\ 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Dashboard!$B$42:$B$46</c:f>
              <c:strCache>
                <c:ptCount val="5"/>
                <c:pt idx="0">
                  <c:v>Kardiologia</c:v>
                </c:pt>
                <c:pt idx="1">
                  <c:v>Kardiochirurgia</c:v>
                </c:pt>
                <c:pt idx="2">
                  <c:v>Chirurgia naczyniowa</c:v>
                </c:pt>
                <c:pt idx="3">
                  <c:v>Laboratorium</c:v>
                </c:pt>
                <c:pt idx="4">
                  <c:v>Administracja</c:v>
                </c:pt>
              </c:strCache>
            </c:strRef>
          </c:cat>
          <c:val>
            <c:numRef>
              <c:f>Dashboard!$D$42:$D$46</c:f>
              <c:numCache>
                <c:formatCode>#\ ##0\ "zł"</c:formatCode>
                <c:ptCount val="5"/>
                <c:pt idx="0">
                  <c:v>152853.13800000001</c:v>
                </c:pt>
                <c:pt idx="1">
                  <c:v>0</c:v>
                </c:pt>
                <c:pt idx="2">
                  <c:v>45278.975999999995</c:v>
                </c:pt>
                <c:pt idx="3">
                  <c:v>50713.184999999998</c:v>
                </c:pt>
                <c:pt idx="4">
                  <c:v>58660.182000000001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4-45E6-9ED9-6FF8A226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49407040"/>
        <c:axId val="928159088"/>
      </c:barChart>
      <c:catAx>
        <c:axId val="16494070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928159088"/>
        <c:crosses val="autoZero"/>
        <c:auto val="1"/>
        <c:lblAlgn val="ctr"/>
        <c:lblOffset val="100"/>
        <c:noMultiLvlLbl val="0"/>
      </c:catAx>
      <c:valAx>
        <c:axId val="928159088"/>
        <c:scaling>
          <c:orientation val="minMax"/>
        </c:scaling>
        <c:delete val="1"/>
        <c:axPos val="t"/>
        <c:numFmt formatCode="#\ ##0\ &quot;zł&quot;" sourceLinked="1"/>
        <c:majorTickMark val="none"/>
        <c:minorTickMark val="none"/>
        <c:tickLblPos val="nextTo"/>
        <c:crossAx val="164940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Ruch kadrowy w roku: przyjęcia vs odejścia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Dashboard!$L$41</c:f>
              <c:strCache>
                <c:ptCount val="1"/>
                <c:pt idx="0">
                  <c:v>Przyjęcia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Dashboard!$K$42:$K$53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Dashboard!$L$42:$L$53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7-43D1-A022-048EF48BB7B1}"/>
            </c:ext>
          </c:extLst>
        </c:ser>
        <c:ser>
          <c:idx val="1"/>
          <c:order val="1"/>
          <c:tx>
            <c:strRef>
              <c:f>Dashboard!$M$41</c:f>
              <c:strCache>
                <c:ptCount val="1"/>
                <c:pt idx="0">
                  <c:v>Odejścia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Dashboard!$K$42:$K$53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Dashboard!$M$42:$M$53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7-43D1-A022-048EF48BB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206064"/>
        <c:axId val="928188368"/>
      </c:barChart>
      <c:dateAx>
        <c:axId val="1494206064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928188368"/>
        <c:crosses val="autoZero"/>
        <c:auto val="1"/>
        <c:lblOffset val="100"/>
        <c:baseTimeUnit val="months"/>
      </c:dateAx>
      <c:valAx>
        <c:axId val="92818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DEDED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14942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Średnia stawka (pełny etat, zł): K vs M wg działu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Kobiety</c:v>
          </c:tx>
          <c:spPr>
            <a:solidFill>
              <a:srgbClr val="C55A11"/>
            </a:solidFill>
            <a:ln>
              <a:noFill/>
            </a:ln>
            <a:effectLst/>
          </c:spPr>
          <c:invertIfNegative val="0"/>
          <c:cat>
            <c:strRef>
              <c:f>Dashboard!$B$42:$B$46</c:f>
              <c:strCache>
                <c:ptCount val="5"/>
                <c:pt idx="0">
                  <c:v>Kardiologia</c:v>
                </c:pt>
                <c:pt idx="1">
                  <c:v>Kardiochirurgia</c:v>
                </c:pt>
                <c:pt idx="2">
                  <c:v>Chirurgia naczyniowa</c:v>
                </c:pt>
                <c:pt idx="3">
                  <c:v>Laboratorium</c:v>
                </c:pt>
                <c:pt idx="4">
                  <c:v>Administracja</c:v>
                </c:pt>
              </c:strCache>
            </c:strRef>
          </c:cat>
          <c:val>
            <c:numRef>
              <c:f>Dashboard!$E$42:$E$46</c:f>
              <c:numCache>
                <c:formatCode>#\ ##0\ "zł"</c:formatCode>
                <c:ptCount val="5"/>
                <c:pt idx="0">
                  <c:v>10705</c:v>
                </c:pt>
                <c:pt idx="1">
                  <c:v>0</c:v>
                </c:pt>
                <c:pt idx="2">
                  <c:v>9750</c:v>
                </c:pt>
                <c:pt idx="3">
                  <c:v>7663.333333333333</c:v>
                </c:pt>
                <c:pt idx="4">
                  <c:v>6984.2857142857147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5-42AC-8A34-DE10A7097748}"/>
            </c:ext>
          </c:extLst>
        </c:ser>
        <c:ser>
          <c:idx val="1"/>
          <c:order val="1"/>
          <c:tx>
            <c:v>Mężczyźni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Dashboard!$B$42:$B$46</c:f>
              <c:strCache>
                <c:ptCount val="5"/>
                <c:pt idx="0">
                  <c:v>Kardiologia</c:v>
                </c:pt>
                <c:pt idx="1">
                  <c:v>Kardiochirurgia</c:v>
                </c:pt>
                <c:pt idx="2">
                  <c:v>Chirurgia naczyniowa</c:v>
                </c:pt>
                <c:pt idx="3">
                  <c:v>Laboratorium</c:v>
                </c:pt>
                <c:pt idx="4">
                  <c:v>Administracja</c:v>
                </c:pt>
              </c:strCache>
            </c:strRef>
          </c:cat>
          <c:val>
            <c:numRef>
              <c:f>Dashboard!$F$42:$F$46</c:f>
              <c:numCache>
                <c:formatCode>#\ ##0\ "zł"</c:formatCode>
                <c:ptCount val="5"/>
                <c:pt idx="0">
                  <c:v>16617.5</c:v>
                </c:pt>
                <c:pt idx="1">
                  <c:v>0</c:v>
                </c:pt>
                <c:pt idx="2">
                  <c:v>7870</c:v>
                </c:pt>
                <c:pt idx="3">
                  <c:v>8855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5-42AC-8A34-DE10A7097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209312"/>
        <c:axId val="928106768"/>
      </c:barChart>
      <c:catAx>
        <c:axId val="149420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928106768"/>
        <c:crosses val="autoZero"/>
        <c:auto val="1"/>
        <c:lblAlgn val="ctr"/>
        <c:lblOffset val="100"/>
        <c:noMultiLvlLbl val="0"/>
      </c:catAx>
      <c:valAx>
        <c:axId val="9281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DEDED"/>
              </a:solidFill>
              <a:prstDash val="solid"/>
              <a:round/>
            </a:ln>
            <a:effectLst/>
          </c:spPr>
        </c:majorGridlines>
        <c:numFmt formatCode="#\ 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149420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Struktura umów (aktywni)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Dashboard!$I$41</c:f>
              <c:strCache>
                <c:ptCount val="1"/>
                <c:pt idx="0">
                  <c:v>Osoby</c:v>
                </c:pt>
              </c:strCache>
            </c:strRef>
          </c:tx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4F-41A3-B84E-5C52CEE3AE1B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4F-41A3-B84E-5C52CEE3AE1B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4F-41A3-B84E-5C52CEE3AE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Dashboard!$H$42:$H$44</c:f>
              <c:strCache>
                <c:ptCount val="3"/>
                <c:pt idx="0">
                  <c:v>Na czas nieokreślony</c:v>
                </c:pt>
                <c:pt idx="1">
                  <c:v>Na czas określony</c:v>
                </c:pt>
                <c:pt idx="2">
                  <c:v>Na okres próbny</c:v>
                </c:pt>
              </c:strCache>
            </c:strRef>
          </c:cat>
          <c:val>
            <c:numRef>
              <c:f>Dashboard!$I$42:$I$44</c:f>
              <c:numCache>
                <c:formatCode>General</c:formatCode>
                <c:ptCount val="3"/>
                <c:pt idx="0">
                  <c:v>25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F-41A3-B84E-5C52CEE3A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Koszt pracy 2026 → 2027: składniki zmiany (rok)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F6-4BC8-B8AD-8949765A7ACA}"/>
              </c:ext>
            </c:extLst>
          </c:dPt>
          <c:dPt>
            <c:idx val="2"/>
            <c:invertIfNegative val="0"/>
            <c:bubble3D val="0"/>
            <c:spPr>
              <a:solidFill>
                <a:srgbClr val="A5A5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F6-4BC8-B8AD-8949765A7ACA}"/>
              </c:ext>
            </c:extLst>
          </c:dPt>
          <c:dLbls>
            <c:numFmt formatCode="#,##0\ &quot;zł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Budżet_2027!$A$27:$A$30</c:f>
              <c:strCache>
                <c:ptCount val="4"/>
                <c:pt idx="0">
                  <c:v>Koszt całkowity 2026</c:v>
                </c:pt>
                <c:pt idx="1">
                  <c:v>Podwyżki (z narzutami)</c:v>
                </c:pt>
                <c:pt idx="2">
                  <c:v>Nowe etaty (z narzutami)</c:v>
                </c:pt>
                <c:pt idx="3">
                  <c:v>Koszt całkowity 2027</c:v>
                </c:pt>
              </c:strCache>
            </c:strRef>
          </c:cat>
          <c:val>
            <c:numRef>
              <c:f>Budżet_2027!$B$27:$B$30</c:f>
              <c:numCache>
                <c:formatCode>#\ ##0\ "zł";\(#\ ##0\ "zł"\);"-"</c:formatCode>
                <c:ptCount val="4"/>
                <c:pt idx="0">
                  <c:v>23874203.714399997</c:v>
                </c:pt>
                <c:pt idx="1">
                  <c:v>1003816.015416</c:v>
                </c:pt>
                <c:pt idx="2">
                  <c:v>406245.62828743551</c:v>
                </c:pt>
                <c:pt idx="3">
                  <c:v>25284265.358103432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6-4BC8-B8AD-8949765A7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649405184"/>
        <c:axId val="928156208"/>
      </c:barChart>
      <c:catAx>
        <c:axId val="16494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8156208"/>
        <c:crosses val="autoZero"/>
        <c:auto val="1"/>
        <c:lblAlgn val="ctr"/>
        <c:lblOffset val="100"/>
        <c:noMultiLvlLbl val="0"/>
      </c:catAx>
      <c:valAx>
        <c:axId val="9281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940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D4DFB65-8997-C9DA-3111-92F2AAEE1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29A4EF1-6619-086B-E592-F4E98C0EF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EC46D3E-0A68-2524-3AB2-47E346CBB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7F41E66-2485-3C0D-9DB6-CD24434BD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25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19AB06D-0797-FC04-2BD4-F4294CDFA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853D4-C09A-4F13-AE9E-A10EF55D6B9E}" name="tblWidelki" displayName="tblWidelki" ref="A20:F26" totalsRowShown="0" headerRowDxfId="42" dataDxfId="43">
  <autoFilter ref="A20:F26" xr:uid="{C98853D4-C09A-4F13-AE9E-A10EF55D6B9E}"/>
  <tableColumns count="6">
    <tableColumn id="1" xr3:uid="{76D33F4E-4F23-401D-B570-62C2E548F855}" name="Grupa" dataDxfId="45"/>
    <tableColumn id="2" xr3:uid="{63AA287A-9E23-41F3-BD45-3C09A242D777}" name="Opis grupy" dataDxfId="44"/>
    <tableColumn id="3" xr3:uid="{627C3CB2-5A67-4F70-8697-F2D6134DB728}" name="Min" dataDxfId="40"/>
    <tableColumn id="4" xr3:uid="{E0B3B6A2-7701-4DD9-BCA2-1718943F6A8A}" name="Max" dataDxfId="39"/>
    <tableColumn id="5" xr3:uid="{4821D851-4CD0-48B4-8709-88E3A53B4122}" name="Środek" dataDxfId="41">
      <calculatedColumnFormula>(tblWidelki[[#This Row],[Min]]+tblWidelki[[#This Row],[Max]])/2</calculatedColumnFormula>
    </tableColumn>
    <tableColumn id="6" xr3:uid="{C4FAFC41-1CB0-4B45-BC03-2EC38AF055BD}" name="Podwyżka 2027 %" dataDxfId="3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48756-0FE5-4DAC-8BB5-B163D7CD964A}" name="tblKadry" displayName="tblKadry" ref="A3:V187" totalsRowShown="0" headerRowDxfId="15" dataDxfId="29">
  <autoFilter ref="A3:V187" xr:uid="{81E48756-0FE5-4DAC-8BB5-B163D7CD964A}"/>
  <sortState xmlns:xlrd2="http://schemas.microsoft.com/office/spreadsheetml/2017/richdata2" ref="A4:V187">
    <sortCondition descending="1" ref="O3:O187"/>
  </sortState>
  <tableColumns count="22">
    <tableColumn id="1" xr3:uid="{8FFFDC0D-436C-49FC-8B12-F65723FE60DF}" name="ID_Pracownika" dataDxfId="37"/>
    <tableColumn id="2" xr3:uid="{81D6D82C-DE76-4447-8170-A61E647F178F}" name="Placówka" dataDxfId="36"/>
    <tableColumn id="3" xr3:uid="{F42ED564-5880-4E36-A9BD-1BAA16CCD367}" name="Dział" dataDxfId="35"/>
    <tableColumn id="4" xr3:uid="{212A5A28-CD1A-4A71-98A8-192F623AA204}" name="Stanowisko" dataDxfId="34"/>
    <tableColumn id="5" xr3:uid="{5D0210C9-8D93-4664-B79A-1B2EA68E61D8}" name="Grupa" dataDxfId="33"/>
    <tableColumn id="6" xr3:uid="{6E7F32BD-889E-49CC-A74B-08A95C13B65F}" name="Płeć" dataDxfId="32"/>
    <tableColumn id="7" xr3:uid="{5978D0BB-E962-43F9-881E-1CD53ADA2A96}" name="Data_zatrudnienia" dataDxfId="27"/>
    <tableColumn id="8" xr3:uid="{93D4A990-435F-4E18-9509-8255F11A76D3}" name="Typ_umowy" dataDxfId="31"/>
    <tableColumn id="9" xr3:uid="{9B6C155A-0F77-47FB-A5B2-600417C97CF2}" name="Etat" dataDxfId="25"/>
    <tableColumn id="10" xr3:uid="{10114574-F015-4DF7-91A1-19EC4C9FF628}" name="Wynagrodzenie_zasadnicze" dataDxfId="24"/>
    <tableColumn id="11" xr3:uid="{47DD3B5E-E94F-463A-B3A0-29A97910B46C}" name="Dodatek_funkcyjny" dataDxfId="23"/>
    <tableColumn id="12" xr3:uid="{D7354CC4-EB6A-4E97-BCA8-2F70D427B76F}" name="Status" dataDxfId="30"/>
    <tableColumn id="13" xr3:uid="{2AD5FBF3-0940-4BDB-93E6-5F37D9486018}" name="Data_zwolnienia" dataDxfId="26"/>
    <tableColumn id="14" xr3:uid="{E05CCF8D-8134-4627-A6C2-DEF61F0BB29E}" name="Brutto_mies" dataDxfId="22">
      <calculatedColumnFormula>tblKadry[[#This Row],[Wynagrodzenie_zasadnicze]]+tblKadry[[#This Row],[Dodatek_funkcyjny]]</calculatedColumnFormula>
    </tableColumn>
    <tableColumn id="15" xr3:uid="{0E51005A-C6A5-4BE1-87C6-9E11570EBDF4}" name="Stawka_pełny_etat" dataDxfId="21">
      <calculatedColumnFormula>IF(OR(tblKadry[[#This Row],[Wynagrodzenie_zasadnicze]]="",tblKadry[[#This Row],[Etat]]=0),"",tblKadry[[#This Row],[Wynagrodzenie_zasadnicze]]/tblKadry[[#This Row],[Etat]])</calculatedColumnFormula>
    </tableColumn>
    <tableColumn id="16" xr3:uid="{6EB2F105-79F2-4575-B7E0-209829B99FAD}" name="Aktywny_na_dzień" dataDxfId="16">
      <calculatedColumnFormula>IF(AND(tblKadry[[#This Row],[Status]]="Aktywny",tblKadry[[#This Row],[Data_zatrudnienia]]&lt;=pDataRaportu),1,0)</calculatedColumnFormula>
    </tableColumn>
    <tableColumn id="17" xr3:uid="{64796B78-D802-41B4-A56F-190565B92FDA}" name="Staż_lat" dataDxfId="18">
      <calculatedColumnFormula>IF(tblKadry[[#This Row],[Data_zatrudnienia]]&gt;pDataRaportu,0,ROUND(YEARFRAC(tblKadry[[#This Row],[Data_zatrudnienia]],IF(tblKadry[[#This Row],[Data_zwolnienia]]="",pDataRaportu,tblKadry[[#This Row],[Data_zwolnienia]])),1))</calculatedColumnFormula>
    </tableColumn>
    <tableColumn id="18" xr3:uid="{48B8FD49-544B-44FD-B709-5A54F37AD1FE}" name="Koszt_pracodawcy_mies" dataDxfId="20">
      <calculatedColumnFormula>tblKadry[[#This Row],[Brutto_mies]]*(1+pNarzut)</calculatedColumnFormula>
    </tableColumn>
    <tableColumn id="19" xr3:uid="{B13E02B0-8B2A-4E96-9D75-EDEF0050D27D}" name="Środek_widełek" dataDxfId="19">
      <calculatedColumnFormula>_xlfn.XLOOKUP(tblKadry[[#This Row],[Grupa]],tblWidelki[Grupa],tblWidelki[Środek],"")</calculatedColumnFormula>
    </tableColumn>
    <tableColumn id="20" xr3:uid="{244D0A69-885A-42CC-843A-9E89B195E634}" name="Compa_ratio" dataDxfId="17">
      <calculatedColumnFormula>IF(tblKadry[[#This Row],[Stawka_pełny_etat]]="","",tblKadry[[#This Row],[Stawka_pełny_etat]]/tblKadry[[#This Row],[Środek_widełek]])</calculatedColumnFormula>
    </tableColumn>
    <tableColumn id="21" xr3:uid="{2144504D-7E05-42FB-9732-0463E3F79B2F}" name="Pozycja_w_widełkach" dataDxfId="28">
      <calculatedColumnFormula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calculatedColumnFormula>
    </tableColumn>
    <tableColumn id="22" xr3:uid="{E1B4CA5A-BE89-410A-988F-401E81B25BF2}" name="Uwagi_QC" dataDxfId="13">
      <calculatedColumnFormula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C0FF86-25F4-4487-B751-04C2C14B47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092f2b5-9b47-4d37-9561-7bda0bbc00ce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4F9F-9A6D-4CA9-8B89-73E9FBFEEB37}">
  <sheetPr>
    <tabColor rgb="FF1F3864"/>
  </sheetPr>
  <dimension ref="A1:Z27"/>
  <sheetViews>
    <sheetView showGridLines="0" workbookViewId="0"/>
  </sheetViews>
  <sheetFormatPr defaultRowHeight="14.4" x14ac:dyDescent="0.3"/>
  <cols>
    <col min="1" max="1" width="2.21875" style="1" customWidth="1"/>
    <col min="2" max="2" width="31.44140625" style="1" customWidth="1"/>
    <col min="3" max="3" width="103.6640625" style="1" customWidth="1"/>
    <col min="4" max="26" width="8.88671875" style="1"/>
  </cols>
  <sheetData>
    <row r="1" spans="2:3" ht="25.8" x14ac:dyDescent="0.5">
      <c r="B1" s="83" t="s">
        <v>390</v>
      </c>
    </row>
    <row r="2" spans="2:3" ht="15.6" x14ac:dyDescent="0.3">
      <c r="B2" s="84" t="s">
        <v>391</v>
      </c>
    </row>
    <row r="4" spans="2:3" x14ac:dyDescent="0.3">
      <c r="B4" s="85" t="s">
        <v>392</v>
      </c>
      <c r="C4" s="85"/>
    </row>
    <row r="5" spans="2:3" ht="27.6" x14ac:dyDescent="0.3">
      <c r="B5" s="88" t="s">
        <v>393</v>
      </c>
      <c r="C5" s="89" t="s">
        <v>394</v>
      </c>
    </row>
    <row r="6" spans="2:3" ht="27.6" x14ac:dyDescent="0.3">
      <c r="B6" s="90" t="s">
        <v>395</v>
      </c>
      <c r="C6" s="91" t="s">
        <v>396</v>
      </c>
    </row>
    <row r="7" spans="2:3" x14ac:dyDescent="0.3">
      <c r="B7" s="86"/>
      <c r="C7" s="86"/>
    </row>
    <row r="8" spans="2:3" x14ac:dyDescent="0.3">
      <c r="B8" s="87" t="s">
        <v>397</v>
      </c>
      <c r="C8" s="87"/>
    </row>
    <row r="9" spans="2:3" ht="27.6" x14ac:dyDescent="0.3">
      <c r="B9" s="95" t="s">
        <v>398</v>
      </c>
      <c r="C9" s="89" t="s">
        <v>399</v>
      </c>
    </row>
    <row r="10" spans="2:3" ht="27.6" x14ac:dyDescent="0.3">
      <c r="B10" s="96" t="s">
        <v>400</v>
      </c>
      <c r="C10" s="91" t="s">
        <v>401</v>
      </c>
    </row>
    <row r="11" spans="2:3" ht="27.6" x14ac:dyDescent="0.3">
      <c r="B11" s="96" t="s">
        <v>402</v>
      </c>
      <c r="C11" s="91" t="s">
        <v>403</v>
      </c>
    </row>
    <row r="12" spans="2:3" ht="27.6" x14ac:dyDescent="0.3">
      <c r="B12" s="96" t="s">
        <v>404</v>
      </c>
      <c r="C12" s="91" t="s">
        <v>405</v>
      </c>
    </row>
    <row r="13" spans="2:3" x14ac:dyDescent="0.3">
      <c r="B13" s="96" t="s">
        <v>406</v>
      </c>
      <c r="C13" s="91" t="s">
        <v>407</v>
      </c>
    </row>
    <row r="14" spans="2:3" ht="27.6" x14ac:dyDescent="0.3">
      <c r="B14" s="96" t="s">
        <v>408</v>
      </c>
      <c r="C14" s="91" t="s">
        <v>409</v>
      </c>
    </row>
    <row r="15" spans="2:3" x14ac:dyDescent="0.3">
      <c r="B15" s="96" t="s">
        <v>410</v>
      </c>
      <c r="C15" s="91" t="s">
        <v>411</v>
      </c>
    </row>
    <row r="16" spans="2:3" x14ac:dyDescent="0.3">
      <c r="B16" s="86"/>
      <c r="C16" s="86"/>
    </row>
    <row r="17" spans="2:3" x14ac:dyDescent="0.3">
      <c r="B17" s="87" t="s">
        <v>412</v>
      </c>
      <c r="C17" s="87"/>
    </row>
    <row r="18" spans="2:3" ht="27.6" x14ac:dyDescent="0.3">
      <c r="B18" s="88" t="s">
        <v>413</v>
      </c>
      <c r="C18" s="89" t="s">
        <v>414</v>
      </c>
    </row>
    <row r="19" spans="2:3" ht="27.6" x14ac:dyDescent="0.3">
      <c r="B19" s="90" t="s">
        <v>415</v>
      </c>
      <c r="C19" s="91" t="s">
        <v>416</v>
      </c>
    </row>
    <row r="20" spans="2:3" x14ac:dyDescent="0.3">
      <c r="B20" s="90" t="s">
        <v>417</v>
      </c>
      <c r="C20" s="91" t="s">
        <v>418</v>
      </c>
    </row>
    <row r="21" spans="2:3" x14ac:dyDescent="0.3">
      <c r="B21" s="86"/>
      <c r="C21" s="86"/>
    </row>
    <row r="22" spans="2:3" x14ac:dyDescent="0.3">
      <c r="B22" s="87" t="s">
        <v>419</v>
      </c>
      <c r="C22" s="87"/>
    </row>
    <row r="23" spans="2:3" x14ac:dyDescent="0.3">
      <c r="B23" s="92" t="s">
        <v>420</v>
      </c>
      <c r="C23" s="89" t="s">
        <v>421</v>
      </c>
    </row>
    <row r="24" spans="2:3" x14ac:dyDescent="0.3">
      <c r="B24" s="94" t="s">
        <v>422</v>
      </c>
      <c r="C24" s="91" t="s">
        <v>423</v>
      </c>
    </row>
    <row r="25" spans="2:3" x14ac:dyDescent="0.3">
      <c r="B25" s="93" t="s">
        <v>424</v>
      </c>
      <c r="C25" s="91" t="s">
        <v>425</v>
      </c>
    </row>
    <row r="26" spans="2:3" x14ac:dyDescent="0.3">
      <c r="B26" s="86"/>
      <c r="C26" s="86"/>
    </row>
    <row r="27" spans="2:3" ht="27.6" x14ac:dyDescent="0.3">
      <c r="B27" s="88" t="s">
        <v>426</v>
      </c>
      <c r="C27" s="89" t="s">
        <v>427</v>
      </c>
    </row>
  </sheetData>
  <hyperlinks>
    <hyperlink ref="B9" location="'Dashboard'!A1" tooltip="Przejdź do arkusza" display="Dashboard" xr:uid="{7DDFFCD7-3F16-4ACC-9E86-2A0D08720BF2}"/>
    <hyperlink ref="B10" location="'Parametry'!A1" tooltip="Przejdź do arkusza" display="Parametry" xr:uid="{2F575920-81C1-4FCD-85F6-C09FDA16811D}"/>
    <hyperlink ref="B11" location="'Dane_Kadrowe'!A1" tooltip="Przejdź do arkusza" display="Dane_Kadrowe" xr:uid="{5ED69DC7-3206-426C-9E8E-9C12E001CC9A}"/>
    <hyperlink ref="B12" location="'Kontrola_Jakości'!A1" tooltip="Przejdź do arkusza" display="Kontrola_Jakości" xr:uid="{5CDADA1D-73EF-45E8-9E53-41EA50F8D2B2}"/>
    <hyperlink ref="B13" location="'Koszty_Pracy'!A1" tooltip="Przejdź do arkusza" display="Koszty_Pracy" xr:uid="{C4A80195-5BAF-4DD9-A7A6-C6B3B15CC9AC}"/>
    <hyperlink ref="B14" location="'Przegląd_Wynagrodzeń'!A1" tooltip="Przejdź do arkusza" display="Przegląd_Wynagrodzeń" xr:uid="{B03E8FDA-A881-453D-B93F-3BA2A6BEBAB3}"/>
    <hyperlink ref="B15" location="'Budżet_2027'!A1" tooltip="Przejdź do arkusza" display="Budżet_2027" xr:uid="{B5B83CF2-E3F6-48F9-B2F3-48ECBF91EA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5362-539B-41E9-9EAC-F63FF84044B9}">
  <sheetPr>
    <tabColor rgb="FF1F3864"/>
  </sheetPr>
  <dimension ref="A1"/>
  <sheetViews>
    <sheetView topLeftCell="CC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8F6B-DBC5-43BB-8AE4-D3C964EC08FD}">
  <sheetPr>
    <tabColor rgb="FF1F3864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4F42-0FAF-48E0-AEEA-641A9BA0AE89}">
  <sheetPr>
    <tabColor rgb="FF1F3864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0FE1-E44C-4DD0-BBA3-F238D9148B4C}">
  <sheetPr>
    <tabColor rgb="FF1F3864"/>
  </sheetPr>
  <dimension ref="A1:Z55"/>
  <sheetViews>
    <sheetView showGridLines="0" zoomScaleNormal="100" workbookViewId="0">
      <selection activeCell="C4" sqref="C4:D4"/>
    </sheetView>
  </sheetViews>
  <sheetFormatPr defaultRowHeight="14.4" x14ac:dyDescent="0.3"/>
  <cols>
    <col min="1" max="1" width="2.21875" style="1" customWidth="1"/>
    <col min="2" max="13" width="15.21875" style="1" customWidth="1"/>
    <col min="14" max="14" width="2.21875" style="1" customWidth="1"/>
    <col min="15" max="26" width="8.88671875" style="1"/>
  </cols>
  <sheetData>
    <row r="1" spans="2:21" ht="23.4" x14ac:dyDescent="0.45">
      <c r="B1" s="75" t="s">
        <v>368</v>
      </c>
    </row>
    <row r="2" spans="2:21" x14ac:dyDescent="0.3">
      <c r="B2" s="3" t="str">
        <f>"Dane na dzień "&amp;YEAR(pDataRaportu)&amp;"-"&amp;TEXT(MONTH(pDataRaportu),"00")&amp;"-"&amp;TEXT(DAY(pDataRaportu),"00")&amp;" | dane fikcyjne, przygotowane na potrzeby portfolio"</f>
        <v>Dane na dzień 2026-09-30 | dane fikcyjne, przygotowane na potrzeby portfolio</v>
      </c>
    </row>
    <row r="4" spans="2:21" x14ac:dyDescent="0.3">
      <c r="B4" s="76" t="s">
        <v>369</v>
      </c>
      <c r="C4" s="77" t="s">
        <v>40</v>
      </c>
      <c r="D4" s="78"/>
      <c r="F4" s="79" t="s">
        <v>370</v>
      </c>
      <c r="L4" s="81" t="s">
        <v>371</v>
      </c>
      <c r="M4" s="80" t="str">
        <f>IF(C4="Wszystkie","*",C4)</f>
        <v>Ustroń</v>
      </c>
    </row>
    <row r="5" spans="2:21" ht="15" thickBot="1" x14ac:dyDescent="0.35"/>
    <row r="6" spans="2:21" ht="19.95" customHeight="1" thickTop="1" x14ac:dyDescent="0.3">
      <c r="B6" s="69" t="s">
        <v>385</v>
      </c>
      <c r="C6" s="72"/>
      <c r="D6" s="69" t="s">
        <v>386</v>
      </c>
      <c r="E6" s="72"/>
      <c r="F6" s="69" t="s">
        <v>387</v>
      </c>
      <c r="G6" s="72"/>
      <c r="H6" s="69" t="s">
        <v>384</v>
      </c>
      <c r="I6" s="72"/>
      <c r="J6" s="69" t="s">
        <v>389</v>
      </c>
      <c r="K6" s="72"/>
      <c r="L6" s="69" t="s">
        <v>388</v>
      </c>
      <c r="M6" s="68"/>
    </row>
    <row r="7" spans="2:21" ht="31.95" customHeight="1" x14ac:dyDescent="0.45">
      <c r="B7" s="70">
        <f>C52</f>
        <v>26</v>
      </c>
      <c r="C7" s="64"/>
      <c r="D7" s="73">
        <f>SUMIFS(tblKadry[Koszt_pracodawcy_mies],tblKadry[Placówka],dFiltr,tblKadry[Aktywny_na_dzień],1)</f>
        <v>307505.48099999997</v>
      </c>
      <c r="E7" s="64"/>
      <c r="F7" s="73">
        <f>IFERROR(AVERAGEIFS(tblKadry[Stawka_pełny_etat],tblKadry[Placówka],dFiltr,tblKadry[Aktywny_na_dzień],1),0)</f>
        <v>9900.3846153846152</v>
      </c>
      <c r="G7" s="64"/>
      <c r="H7" s="74">
        <f>C55</f>
        <v>8.1632653061224483E-2</v>
      </c>
      <c r="I7" s="64"/>
      <c r="J7" s="74">
        <f>IFERROR(1-AVERAGEIFS(tblKadry[Stawka_pełny_etat],tblKadry[Płeć],"K",tblKadry[Placówka],dFiltr,tblKadry[Aktywny_na_dzień],1)/AVERAGEIFS(tblKadry[Stawka_pełny_etat],tblKadry[Płeć],"M",tblKadry[Placówka],dFiltr,tblKadry[Aktywny_na_dzień],1),0)</f>
        <v>0.33816289773864328</v>
      </c>
      <c r="K7" s="64"/>
      <c r="L7" s="74">
        <f>Kontrola_Jakości!C18</f>
        <v>0.92934782608695654</v>
      </c>
      <c r="M7" s="66"/>
    </row>
    <row r="8" spans="2:21" ht="18" customHeight="1" x14ac:dyDescent="0.3">
      <c r="B8" s="71" t="str">
        <f>"FTE: "&amp;FIXED(SUMIFS(tblKadry[Etat],tblKadry[Placówka],dFiltr,tblKadry[Aktywny_na_dzień],1),1)</f>
        <v>FTE: 24,8</v>
      </c>
      <c r="C8" s="65"/>
      <c r="D8" s="71" t="str">
        <f>"rocznie: "&amp;FIXED(D7*12/1000000,2)&amp;" mln zł"</f>
        <v>rocznie: 3,69 mln zł</v>
      </c>
      <c r="E8" s="65"/>
      <c r="F8" s="71" t="str" cm="1">
        <f t="array" ref="F8">"mediana: "&amp;FIXED(IFERROR(MEDIAN(_xlfn._xlws.FILTER(tblKadry[Stawka_pełny_etat],(((tblKadry[Placówka]=$C$4)+($C$4="Wszystkie"))&gt;0)*(tblKadry[Aktywny_na_dzień]=1)*(tblKadry[Stawka_pełny_etat]&lt;&gt;""))),0),0)&amp;" zł"</f>
        <v>mediana: 8 535 zł</v>
      </c>
      <c r="G8" s="65"/>
      <c r="H8" s="71" t="str">
        <f>"odejścia: "&amp;C53&amp;" | przyjęcia: "&amp;C54</f>
        <v>odejścia: 2 | przyjęcia: 5</v>
      </c>
      <c r="I8" s="65"/>
      <c r="J8" s="71" t="str">
        <f>COUNTIFS(tblKadry[Pozycja_w_widełkach],"Poniżej",tblKadry[Placówka],dFiltr,tblKadry[Aktywny_na_dzień],1)&amp;" os. poniżej widełek"</f>
        <v>2 os. poniżej widełek</v>
      </c>
      <c r="K8" s="65"/>
      <c r="L8" s="71" t="str">
        <f>Kontrola_Jakości!C16&amp;" rekordów do weryfikacji"</f>
        <v>13 rekordów do weryfikacji</v>
      </c>
      <c r="M8" s="67"/>
    </row>
    <row r="13" spans="2:21" x14ac:dyDescent="0.3">
      <c r="U13" s="97"/>
    </row>
    <row r="39" spans="2:13" x14ac:dyDescent="0.3"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</row>
    <row r="40" spans="2:13" x14ac:dyDescent="0.3">
      <c r="B40" s="11" t="s">
        <v>372</v>
      </c>
    </row>
    <row r="41" spans="2:13" ht="28.05" customHeight="1" x14ac:dyDescent="0.3">
      <c r="B41" s="32" t="s">
        <v>42</v>
      </c>
      <c r="C41" s="32" t="s">
        <v>309</v>
      </c>
      <c r="D41" s="32" t="s">
        <v>373</v>
      </c>
      <c r="E41" s="32" t="s">
        <v>338</v>
      </c>
      <c r="F41" s="32" t="s">
        <v>339</v>
      </c>
      <c r="H41" s="32" t="s">
        <v>374</v>
      </c>
      <c r="I41" s="32" t="s">
        <v>308</v>
      </c>
      <c r="K41" s="32" t="s">
        <v>375</v>
      </c>
      <c r="L41" s="32" t="s">
        <v>376</v>
      </c>
      <c r="M41" s="32" t="s">
        <v>377</v>
      </c>
    </row>
    <row r="42" spans="2:13" x14ac:dyDescent="0.3">
      <c r="B42" s="40" t="str">
        <f>Parametry!C31</f>
        <v>Kardiologia</v>
      </c>
      <c r="C42" s="18">
        <f>SUMIFS(tblKadry[Etat],tblKadry[Dział],B42,tblKadry[Placówka],dFiltr,tblKadry[Aktywny_na_dzień],1)</f>
        <v>9.5</v>
      </c>
      <c r="D42" s="13">
        <f>SUMIFS(tblKadry[Koszt_pracodawcy_mies],tblKadry[Dział],B42,tblKadry[Placówka],dFiltr,tblKadry[Aktywny_na_dzień],1)</f>
        <v>152853.13800000001</v>
      </c>
      <c r="E42" s="13">
        <f>IFERROR(AVERAGEIFS(tblKadry[Stawka_pełny_etat],tblKadry[Dział],B42,tblKadry[Płeć],"K",tblKadry[Placówka],dFiltr,tblKadry[Aktywny_na_dzień],1),0)</f>
        <v>10705</v>
      </c>
      <c r="F42" s="13">
        <f>IFERROR(AVERAGEIFS(tblKadry[Stawka_pełny_etat],tblKadry[Dział],B42,tblKadry[Płeć],"M",tblKadry[Placówka],dFiltr,tblKadry[Aktywny_na_dzień],1),0)</f>
        <v>16617.5</v>
      </c>
      <c r="H42" s="1" t="s">
        <v>61</v>
      </c>
      <c r="I42" s="1">
        <f>COUNTIFS(tblKadry[Typ_umowy],H42,tblKadry[Placówka],dFiltr,tblKadry[Aktywny_na_dzień],1)</f>
        <v>25</v>
      </c>
      <c r="K42" s="63">
        <f>DATE(YEAR(pDataRaportu),1,1)</f>
        <v>46023</v>
      </c>
      <c r="L42" s="1">
        <f>IF(K42&gt;pDataRaportu,0,COUNTIFS(tblKadry[Data_zatrudnienia],"&gt;="&amp;K42,tblKadry[Data_zatrudnienia],"&lt;="&amp;EOMONTH(K42,0),tblKadry[Placówka],dFiltr))</f>
        <v>0</v>
      </c>
      <c r="M42" s="1">
        <f>IF(K42&gt;pDataRaportu,0,COUNTIFS(tblKadry[Status],"Zwolniony",tblKadry[Data_zwolnienia],"&gt;="&amp;K42,tblKadry[Data_zwolnienia],"&lt;="&amp;EOMONTH(K42,0),tblKadry[Placówka],dFiltr))</f>
        <v>0</v>
      </c>
    </row>
    <row r="43" spans="2:13" x14ac:dyDescent="0.3">
      <c r="B43" s="40" t="str">
        <f>Parametry!C32</f>
        <v>Kardiochirurgia</v>
      </c>
      <c r="C43" s="18">
        <f>SUMIFS(tblKadry[Etat],tblKadry[Dział],B43,tblKadry[Placówka],dFiltr,tblKadry[Aktywny_na_dzień],1)</f>
        <v>0</v>
      </c>
      <c r="D43" s="13">
        <f>SUMIFS(tblKadry[Koszt_pracodawcy_mies],tblKadry[Dział],B43,tblKadry[Placówka],dFiltr,tblKadry[Aktywny_na_dzień],1)</f>
        <v>0</v>
      </c>
      <c r="E43" s="13">
        <f>IFERROR(AVERAGEIFS(tblKadry[Stawka_pełny_etat],tblKadry[Dział],B43,tblKadry[Płeć],"K",tblKadry[Placówka],dFiltr,tblKadry[Aktywny_na_dzień],1),0)</f>
        <v>0</v>
      </c>
      <c r="F43" s="13">
        <f>IFERROR(AVERAGEIFS(tblKadry[Stawka_pełny_etat],tblKadry[Dział],B43,tblKadry[Płeć],"M",tblKadry[Placówka],dFiltr,tblKadry[Aktywny_na_dzień],1),0)</f>
        <v>0</v>
      </c>
      <c r="H43" s="1" t="s">
        <v>68</v>
      </c>
      <c r="I43" s="1">
        <f>COUNTIFS(tblKadry[Typ_umowy],H43,tblKadry[Placówka],dFiltr,tblKadry[Aktywny_na_dzień],1)</f>
        <v>1</v>
      </c>
      <c r="K43" s="63">
        <f>DATE(YEAR(pDataRaportu),2,1)</f>
        <v>46054</v>
      </c>
      <c r="L43" s="1">
        <f>IF(K43&gt;pDataRaportu,0,COUNTIFS(tblKadry[Data_zatrudnienia],"&gt;="&amp;K43,tblKadry[Data_zatrudnienia],"&lt;="&amp;EOMONTH(K43,0),tblKadry[Placówka],dFiltr))</f>
        <v>2</v>
      </c>
      <c r="M43" s="1">
        <f>IF(K43&gt;pDataRaportu,0,COUNTIFS(tblKadry[Status],"Zwolniony",tblKadry[Data_zwolnienia],"&gt;="&amp;K43,tblKadry[Data_zwolnienia],"&lt;="&amp;EOMONTH(K43,0),tblKadry[Placówka],dFiltr))</f>
        <v>1</v>
      </c>
    </row>
    <row r="44" spans="2:13" x14ac:dyDescent="0.3">
      <c r="B44" s="40" t="str">
        <f>Parametry!C33</f>
        <v>Chirurgia naczyniowa</v>
      </c>
      <c r="C44" s="18">
        <f>SUMIFS(tblKadry[Etat],tblKadry[Dział],B44,tblKadry[Placówka],dFiltr,tblKadry[Aktywny_na_dzień],1)</f>
        <v>4</v>
      </c>
      <c r="D44" s="13">
        <f>SUMIFS(tblKadry[Koszt_pracodawcy_mies],tblKadry[Dział],B44,tblKadry[Placówka],dFiltr,tblKadry[Aktywny_na_dzień],1)</f>
        <v>45278.975999999995</v>
      </c>
      <c r="E44" s="13">
        <f>IFERROR(AVERAGEIFS(tblKadry[Stawka_pełny_etat],tblKadry[Dział],B44,tblKadry[Płeć],"K",tblKadry[Placówka],dFiltr,tblKadry[Aktywny_na_dzień],1),0)</f>
        <v>9750</v>
      </c>
      <c r="F44" s="13">
        <f>IFERROR(AVERAGEIFS(tblKadry[Stawka_pełny_etat],tblKadry[Dział],B44,tblKadry[Płeć],"M",tblKadry[Placówka],dFiltr,tblKadry[Aktywny_na_dzień],1),0)</f>
        <v>7870</v>
      </c>
      <c r="H44" s="1" t="s">
        <v>71</v>
      </c>
      <c r="I44" s="1">
        <f>COUNTIFS(tblKadry[Typ_umowy],H44,tblKadry[Placówka],dFiltr,tblKadry[Aktywny_na_dzień],1)</f>
        <v>0</v>
      </c>
      <c r="K44" s="63">
        <f>DATE(YEAR(pDataRaportu),3,1)</f>
        <v>46082</v>
      </c>
      <c r="L44" s="1">
        <f>IF(K44&gt;pDataRaportu,0,COUNTIFS(tblKadry[Data_zatrudnienia],"&gt;="&amp;K44,tblKadry[Data_zatrudnienia],"&lt;="&amp;EOMONTH(K44,0),tblKadry[Placówka],dFiltr))</f>
        <v>2</v>
      </c>
      <c r="M44" s="1">
        <f>IF(K44&gt;pDataRaportu,0,COUNTIFS(tblKadry[Status],"Zwolniony",tblKadry[Data_zwolnienia],"&gt;="&amp;K44,tblKadry[Data_zwolnienia],"&lt;="&amp;EOMONTH(K44,0),tblKadry[Placówka],dFiltr))</f>
        <v>0</v>
      </c>
    </row>
    <row r="45" spans="2:13" x14ac:dyDescent="0.3">
      <c r="B45" s="40" t="str">
        <f>Parametry!C34</f>
        <v>Laboratorium</v>
      </c>
      <c r="C45" s="18">
        <f>SUMIFS(tblKadry[Etat],tblKadry[Dział],B45,tblKadry[Placówka],dFiltr,tblKadry[Aktywny_na_dzień],1)</f>
        <v>4.75</v>
      </c>
      <c r="D45" s="13">
        <f>SUMIFS(tblKadry[Koszt_pracodawcy_mies],tblKadry[Dział],B45,tblKadry[Placówka],dFiltr,tblKadry[Aktywny_na_dzień],1)</f>
        <v>50713.184999999998</v>
      </c>
      <c r="E45" s="13">
        <f>IFERROR(AVERAGEIFS(tblKadry[Stawka_pełny_etat],tblKadry[Dział],B45,tblKadry[Płeć],"K",tblKadry[Placówka],dFiltr,tblKadry[Aktywny_na_dzień],1),0)</f>
        <v>7663.333333333333</v>
      </c>
      <c r="F45" s="13">
        <f>IFERROR(AVERAGEIFS(tblKadry[Stawka_pełny_etat],tblKadry[Dział],B45,tblKadry[Płeć],"M",tblKadry[Placówka],dFiltr,tblKadry[Aktywny_na_dzień],1),0)</f>
        <v>8855</v>
      </c>
      <c r="K45" s="63">
        <f>DATE(YEAR(pDataRaportu),4,1)</f>
        <v>46113</v>
      </c>
      <c r="L45" s="1">
        <f>IF(K45&gt;pDataRaportu,0,COUNTIFS(tblKadry[Data_zatrudnienia],"&gt;="&amp;K45,tblKadry[Data_zatrudnienia],"&lt;="&amp;EOMONTH(K45,0),tblKadry[Placówka],dFiltr))</f>
        <v>0</v>
      </c>
      <c r="M45" s="1">
        <f>IF(K45&gt;pDataRaportu,0,COUNTIFS(tblKadry[Status],"Zwolniony",tblKadry[Data_zwolnienia],"&gt;="&amp;K45,tblKadry[Data_zwolnienia],"&lt;="&amp;EOMONTH(K45,0),tblKadry[Placówka],dFiltr))</f>
        <v>0</v>
      </c>
    </row>
    <row r="46" spans="2:13" x14ac:dyDescent="0.3">
      <c r="B46" s="40" t="str">
        <f>Parametry!C35</f>
        <v>Administracja</v>
      </c>
      <c r="C46" s="18">
        <f>SUMIFS(tblKadry[Etat],tblKadry[Dział],B46,tblKadry[Placówka],dFiltr,tblKadry[Aktywny_na_dzień],1)</f>
        <v>6.5</v>
      </c>
      <c r="D46" s="13">
        <f>SUMIFS(tblKadry[Koszt_pracodawcy_mies],tblKadry[Dział],B46,tblKadry[Placówka],dFiltr,tblKadry[Aktywny_na_dzień],1)</f>
        <v>58660.182000000001</v>
      </c>
      <c r="E46" s="13">
        <f>IFERROR(AVERAGEIFS(tblKadry[Stawka_pełny_etat],tblKadry[Dział],B46,tblKadry[Płeć],"K",tblKadry[Placówka],dFiltr,tblKadry[Aktywny_na_dzień],1),0)</f>
        <v>6984.2857142857147</v>
      </c>
      <c r="F46" s="13">
        <f>IFERROR(AVERAGEIFS(tblKadry[Stawka_pełny_etat],tblKadry[Dział],B46,tblKadry[Płeć],"M",tblKadry[Placówka],dFiltr,tblKadry[Aktywny_na_dzień],1),0)</f>
        <v>0</v>
      </c>
      <c r="K46" s="63">
        <f>DATE(YEAR(pDataRaportu),5,1)</f>
        <v>46143</v>
      </c>
      <c r="L46" s="1">
        <f>IF(K46&gt;pDataRaportu,0,COUNTIFS(tblKadry[Data_zatrudnienia],"&gt;="&amp;K46,tblKadry[Data_zatrudnienia],"&lt;="&amp;EOMONTH(K46,0),tblKadry[Placówka],dFiltr))</f>
        <v>0</v>
      </c>
      <c r="M46" s="1">
        <f>IF(K46&gt;pDataRaportu,0,COUNTIFS(tblKadry[Status],"Zwolniony",tblKadry[Data_zwolnienia],"&gt;="&amp;K46,tblKadry[Data_zwolnienia],"&lt;="&amp;EOMONTH(K46,0),tblKadry[Placówka],dFiltr))</f>
        <v>0</v>
      </c>
    </row>
    <row r="47" spans="2:13" x14ac:dyDescent="0.3">
      <c r="K47" s="63">
        <f>DATE(YEAR(pDataRaportu),6,1)</f>
        <v>46174</v>
      </c>
      <c r="L47" s="1">
        <f>IF(K47&gt;pDataRaportu,0,COUNTIFS(tblKadry[Data_zatrudnienia],"&gt;="&amp;K47,tblKadry[Data_zatrudnienia],"&lt;="&amp;EOMONTH(K47,0),tblKadry[Placówka],dFiltr))</f>
        <v>0</v>
      </c>
      <c r="M47" s="1">
        <f>IF(K47&gt;pDataRaportu,0,COUNTIFS(tblKadry[Status],"Zwolniony",tblKadry[Data_zwolnienia],"&gt;="&amp;K47,tblKadry[Data_zwolnienia],"&lt;="&amp;EOMONTH(K47,0),tblKadry[Placówka],dFiltr))</f>
        <v>1</v>
      </c>
    </row>
    <row r="48" spans="2:13" x14ac:dyDescent="0.3">
      <c r="K48" s="63">
        <f>DATE(YEAR(pDataRaportu),7,1)</f>
        <v>46204</v>
      </c>
      <c r="L48" s="1">
        <f>IF(K48&gt;pDataRaportu,0,COUNTIFS(tblKadry[Data_zatrudnienia],"&gt;="&amp;K48,tblKadry[Data_zatrudnienia],"&lt;="&amp;EOMONTH(K48,0),tblKadry[Placówka],dFiltr))</f>
        <v>0</v>
      </c>
      <c r="M48" s="1">
        <f>IF(K48&gt;pDataRaportu,0,COUNTIFS(tblKadry[Status],"Zwolniony",tblKadry[Data_zwolnienia],"&gt;="&amp;K48,tblKadry[Data_zwolnienia],"&lt;="&amp;EOMONTH(K48,0),tblKadry[Placówka],dFiltr))</f>
        <v>0</v>
      </c>
    </row>
    <row r="49" spans="2:13" x14ac:dyDescent="0.3">
      <c r="B49" s="11" t="s">
        <v>378</v>
      </c>
      <c r="K49" s="63">
        <f>DATE(YEAR(pDataRaportu),8,1)</f>
        <v>46235</v>
      </c>
      <c r="L49" s="1">
        <f>IF(K49&gt;pDataRaportu,0,COUNTIFS(tblKadry[Data_zatrudnienia],"&gt;="&amp;K49,tblKadry[Data_zatrudnienia],"&lt;="&amp;EOMONTH(K49,0),tblKadry[Placówka],dFiltr))</f>
        <v>1</v>
      </c>
      <c r="M49" s="1">
        <f>IF(K49&gt;pDataRaportu,0,COUNTIFS(tblKadry[Status],"Zwolniony",tblKadry[Data_zwolnienia],"&gt;="&amp;K49,tblKadry[Data_zwolnienia],"&lt;="&amp;EOMONTH(K49,0),tblKadry[Placówka],dFiltr))</f>
        <v>0</v>
      </c>
    </row>
    <row r="50" spans="2:13" x14ac:dyDescent="0.3">
      <c r="B50" s="1" t="s">
        <v>379</v>
      </c>
      <c r="C50" s="17">
        <f>DATE(YEAR(pDataRaportu),1,1)</f>
        <v>46023</v>
      </c>
      <c r="K50" s="63">
        <f>DATE(YEAR(pDataRaportu),9,1)</f>
        <v>46266</v>
      </c>
      <c r="L50" s="1">
        <f>IF(K50&gt;pDataRaportu,0,COUNTIFS(tblKadry[Data_zatrudnienia],"&gt;="&amp;K50,tblKadry[Data_zatrudnienia],"&lt;="&amp;EOMONTH(K50,0),tblKadry[Placówka],dFiltr))</f>
        <v>0</v>
      </c>
      <c r="M50" s="1">
        <f>IF(K50&gt;pDataRaportu,0,COUNTIFS(tblKadry[Status],"Zwolniony",tblKadry[Data_zwolnienia],"&gt;="&amp;K50,tblKadry[Data_zwolnienia],"&lt;="&amp;EOMONTH(K50,0),tblKadry[Placówka],dFiltr))</f>
        <v>0</v>
      </c>
    </row>
    <row r="51" spans="2:13" x14ac:dyDescent="0.3">
      <c r="B51" s="1" t="s">
        <v>380</v>
      </c>
      <c r="C51" s="1">
        <f>COUNTIFS(tblKadry[Placówka],dFiltr,tblKadry[Data_zatrudnienia],"&lt;"&amp;C50,tblKadry[Status],"Aktywny")+COUNTIFS(tblKadry[Placówka],dFiltr,tblKadry[Data_zatrudnienia],"&lt;"&amp;C50,tblKadry[Status],"Zwolniony",tblKadry[Data_zwolnienia],"&gt;="&amp;C50)</f>
        <v>23</v>
      </c>
      <c r="K51" s="63">
        <f>DATE(YEAR(pDataRaportu),10,1)</f>
        <v>46296</v>
      </c>
      <c r="L51" s="1">
        <f>IF(K51&gt;pDataRaportu,0,COUNTIFS(tblKadry[Data_zatrudnienia],"&gt;="&amp;K51,tblKadry[Data_zatrudnienia],"&lt;="&amp;EOMONTH(K51,0),tblKadry[Placówka],dFiltr))</f>
        <v>0</v>
      </c>
      <c r="M51" s="1">
        <f>IF(K51&gt;pDataRaportu,0,COUNTIFS(tblKadry[Status],"Zwolniony",tblKadry[Data_zwolnienia],"&gt;="&amp;K51,tblKadry[Data_zwolnienia],"&lt;="&amp;EOMONTH(K51,0),tblKadry[Placówka],dFiltr))</f>
        <v>0</v>
      </c>
    </row>
    <row r="52" spans="2:13" x14ac:dyDescent="0.3">
      <c r="B52" s="1" t="s">
        <v>381</v>
      </c>
      <c r="C52" s="1">
        <f>SUMIFS(tblKadry[Aktywny_na_dzień],tblKadry[Placówka],dFiltr)</f>
        <v>26</v>
      </c>
      <c r="K52" s="63">
        <f>DATE(YEAR(pDataRaportu),11,1)</f>
        <v>46327</v>
      </c>
      <c r="L52" s="1">
        <f>IF(K52&gt;pDataRaportu,0,COUNTIFS(tblKadry[Data_zatrudnienia],"&gt;="&amp;K52,tblKadry[Data_zatrudnienia],"&lt;="&amp;EOMONTH(K52,0),tblKadry[Placówka],dFiltr))</f>
        <v>0</v>
      </c>
      <c r="M52" s="1">
        <f>IF(K52&gt;pDataRaportu,0,COUNTIFS(tblKadry[Status],"Zwolniony",tblKadry[Data_zwolnienia],"&gt;="&amp;K52,tblKadry[Data_zwolnienia],"&lt;="&amp;EOMONTH(K52,0),tblKadry[Placówka],dFiltr))</f>
        <v>0</v>
      </c>
    </row>
    <row r="53" spans="2:13" x14ac:dyDescent="0.3">
      <c r="B53" s="1" t="s">
        <v>382</v>
      </c>
      <c r="C53" s="1">
        <f>SUM(M42:M53)</f>
        <v>2</v>
      </c>
      <c r="K53" s="63">
        <f>DATE(YEAR(pDataRaportu),12,1)</f>
        <v>46357</v>
      </c>
      <c r="L53" s="1">
        <f>IF(K53&gt;pDataRaportu,0,COUNTIFS(tblKadry[Data_zatrudnienia],"&gt;="&amp;K53,tblKadry[Data_zatrudnienia],"&lt;="&amp;EOMONTH(K53,0),tblKadry[Placówka],dFiltr))</f>
        <v>0</v>
      </c>
      <c r="M53" s="1">
        <f>IF(K53&gt;pDataRaportu,0,COUNTIFS(tblKadry[Status],"Zwolniony",tblKadry[Data_zwolnienia],"&gt;="&amp;K53,tblKadry[Data_zwolnienia],"&lt;="&amp;EOMONTH(K53,0),tblKadry[Placówka],dFiltr))</f>
        <v>0</v>
      </c>
    </row>
    <row r="54" spans="2:13" x14ac:dyDescent="0.3">
      <c r="B54" s="1" t="s">
        <v>383</v>
      </c>
      <c r="C54" s="1">
        <f>SUM(L42:L53)</f>
        <v>5</v>
      </c>
    </row>
    <row r="55" spans="2:13" x14ac:dyDescent="0.3">
      <c r="B55" s="1" t="s">
        <v>384</v>
      </c>
      <c r="C55" s="14">
        <f>IFERROR(C53/AVERAGE(C51,C52),0)</f>
        <v>8.1632653061224483E-2</v>
      </c>
    </row>
  </sheetData>
  <mergeCells count="19">
    <mergeCell ref="J6:K6"/>
    <mergeCell ref="J7:K7"/>
    <mergeCell ref="J8:K8"/>
    <mergeCell ref="L6:M6"/>
    <mergeCell ref="L7:M7"/>
    <mergeCell ref="L8:M8"/>
    <mergeCell ref="F6:G6"/>
    <mergeCell ref="F7:G7"/>
    <mergeCell ref="F8:G8"/>
    <mergeCell ref="H6:I6"/>
    <mergeCell ref="H7:I7"/>
    <mergeCell ref="H8:I8"/>
    <mergeCell ref="C4:D4"/>
    <mergeCell ref="B6:C6"/>
    <mergeCell ref="B7:C7"/>
    <mergeCell ref="B8:C8"/>
    <mergeCell ref="D6:E6"/>
    <mergeCell ref="D7:E7"/>
    <mergeCell ref="D8:E8"/>
  </mergeCells>
  <dataValidations count="1">
    <dataValidation type="list" allowBlank="1" showInputMessage="1" showErrorMessage="1" sqref="C4" xr:uid="{12637B1A-D79A-4A78-A768-30DFA5AE0368}">
      <formula1>lstFiltr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CDE2-5EAC-4FB8-A155-30D3EEC64714}">
  <sheetPr>
    <tabColor rgb="FFFFC000"/>
  </sheetPr>
  <dimension ref="A1:Z35"/>
  <sheetViews>
    <sheetView showGridLines="0" workbookViewId="0"/>
  </sheetViews>
  <sheetFormatPr defaultRowHeight="14.4" x14ac:dyDescent="0.3"/>
  <cols>
    <col min="1" max="1" width="42.5546875" style="1" customWidth="1"/>
    <col min="2" max="2" width="35.21875" style="1" customWidth="1"/>
    <col min="3" max="4" width="17.5546875" style="1" customWidth="1"/>
    <col min="5" max="5" width="20.33203125" style="1" customWidth="1"/>
    <col min="6" max="6" width="17.5546875" style="1" customWidth="1"/>
    <col min="7" max="26" width="8.88671875" style="1"/>
  </cols>
  <sheetData>
    <row r="1" spans="1:2" ht="21" x14ac:dyDescent="0.4">
      <c r="A1" s="2" t="s">
        <v>0</v>
      </c>
    </row>
    <row r="2" spans="1:2" x14ac:dyDescent="0.3">
      <c r="A2" s="3" t="s">
        <v>1</v>
      </c>
    </row>
    <row r="4" spans="1:2" x14ac:dyDescent="0.3">
      <c r="A4" s="4" t="s">
        <v>2</v>
      </c>
      <c r="B4" s="4" t="s">
        <v>3</v>
      </c>
    </row>
    <row r="5" spans="1:2" x14ac:dyDescent="0.3">
      <c r="A5" s="1" t="s">
        <v>4</v>
      </c>
      <c r="B5" s="5">
        <f>DATE(2026,9,30)</f>
        <v>46295</v>
      </c>
    </row>
    <row r="6" spans="1:2" x14ac:dyDescent="0.3">
      <c r="A6" s="1" t="s">
        <v>5</v>
      </c>
      <c r="B6" s="6">
        <v>4806</v>
      </c>
    </row>
    <row r="7" spans="1:2" x14ac:dyDescent="0.3">
      <c r="A7" s="1" t="s">
        <v>6</v>
      </c>
      <c r="B7" s="7">
        <v>2027</v>
      </c>
    </row>
    <row r="9" spans="1:2" x14ac:dyDescent="0.3">
      <c r="A9" s="4" t="s">
        <v>7</v>
      </c>
      <c r="B9" s="4" t="s">
        <v>8</v>
      </c>
    </row>
    <row r="10" spans="1:2" x14ac:dyDescent="0.3">
      <c r="A10" s="1" t="s">
        <v>9</v>
      </c>
      <c r="B10" s="10">
        <v>9.7600000000000006E-2</v>
      </c>
    </row>
    <row r="11" spans="1:2" x14ac:dyDescent="0.3">
      <c r="A11" s="1" t="s">
        <v>10</v>
      </c>
      <c r="B11" s="10">
        <v>6.5000000000000002E-2</v>
      </c>
    </row>
    <row r="12" spans="1:2" x14ac:dyDescent="0.3">
      <c r="A12" s="1" t="s">
        <v>11</v>
      </c>
      <c r="B12" s="10">
        <v>1.67E-2</v>
      </c>
    </row>
    <row r="13" spans="1:2" x14ac:dyDescent="0.3">
      <c r="A13" s="1" t="s">
        <v>12</v>
      </c>
      <c r="B13" s="10">
        <v>2.4500000000000001E-2</v>
      </c>
    </row>
    <row r="14" spans="1:2" x14ac:dyDescent="0.3">
      <c r="A14" s="1" t="s">
        <v>13</v>
      </c>
      <c r="B14" s="10">
        <v>1E-3</v>
      </c>
    </row>
    <row r="15" spans="1:2" x14ac:dyDescent="0.3">
      <c r="A15" s="1" t="s">
        <v>14</v>
      </c>
      <c r="B15" s="10">
        <v>1.4999999999999999E-2</v>
      </c>
    </row>
    <row r="16" spans="1:2" x14ac:dyDescent="0.3">
      <c r="A16" s="8" t="s">
        <v>15</v>
      </c>
      <c r="B16" s="9">
        <f>SUM(B10:B15)</f>
        <v>0.2198</v>
      </c>
    </row>
    <row r="17" spans="1:6" x14ac:dyDescent="0.3">
      <c r="A17" s="3" t="s">
        <v>16</v>
      </c>
    </row>
    <row r="19" spans="1:6" x14ac:dyDescent="0.3">
      <c r="A19" s="12" t="s">
        <v>17</v>
      </c>
    </row>
    <row r="20" spans="1:6" x14ac:dyDescent="0.3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</row>
    <row r="21" spans="1:6" x14ac:dyDescent="0.3">
      <c r="A21" s="1" t="s">
        <v>24</v>
      </c>
      <c r="B21" s="1" t="s">
        <v>25</v>
      </c>
      <c r="C21" s="6">
        <v>4806</v>
      </c>
      <c r="D21" s="6">
        <v>5800</v>
      </c>
      <c r="E21" s="13">
        <f>(tblWidelki[[#This Row],[Min]]+tblWidelki[[#This Row],[Max]])/2</f>
        <v>5303</v>
      </c>
      <c r="F21" s="15">
        <v>0.06</v>
      </c>
    </row>
    <row r="22" spans="1:6" x14ac:dyDescent="0.3">
      <c r="A22" s="1" t="s">
        <v>26</v>
      </c>
      <c r="B22" s="1" t="s">
        <v>27</v>
      </c>
      <c r="C22" s="6">
        <v>5500</v>
      </c>
      <c r="D22" s="6">
        <v>7500</v>
      </c>
      <c r="E22" s="13">
        <f>(tblWidelki[[#This Row],[Min]]+tblWidelki[[#This Row],[Max]])/2</f>
        <v>6500</v>
      </c>
      <c r="F22" s="15">
        <v>0.05</v>
      </c>
    </row>
    <row r="23" spans="1:6" x14ac:dyDescent="0.3">
      <c r="A23" s="1" t="s">
        <v>28</v>
      </c>
      <c r="B23" s="1" t="s">
        <v>29</v>
      </c>
      <c r="C23" s="6">
        <v>7000</v>
      </c>
      <c r="D23" s="6">
        <v>10000</v>
      </c>
      <c r="E23" s="13">
        <f>(tblWidelki[[#This Row],[Min]]+tblWidelki[[#This Row],[Max]])/2</f>
        <v>8500</v>
      </c>
      <c r="F23" s="15">
        <v>0.05</v>
      </c>
    </row>
    <row r="24" spans="1:6" x14ac:dyDescent="0.3">
      <c r="A24" s="1" t="s">
        <v>30</v>
      </c>
      <c r="B24" s="1" t="s">
        <v>31</v>
      </c>
      <c r="C24" s="6">
        <v>9000</v>
      </c>
      <c r="D24" s="6">
        <v>13000</v>
      </c>
      <c r="E24" s="13">
        <f>(tblWidelki[[#This Row],[Min]]+tblWidelki[[#This Row],[Max]])/2</f>
        <v>11000</v>
      </c>
      <c r="F24" s="15">
        <v>0.04</v>
      </c>
    </row>
    <row r="25" spans="1:6" x14ac:dyDescent="0.3">
      <c r="A25" s="1" t="s">
        <v>32</v>
      </c>
      <c r="B25" s="1" t="s">
        <v>33</v>
      </c>
      <c r="C25" s="6">
        <v>13000</v>
      </c>
      <c r="D25" s="6">
        <v>19000</v>
      </c>
      <c r="E25" s="13">
        <f>(tblWidelki[[#This Row],[Min]]+tblWidelki[[#This Row],[Max]])/2</f>
        <v>16000</v>
      </c>
      <c r="F25" s="15">
        <v>0.04</v>
      </c>
    </row>
    <row r="26" spans="1:6" x14ac:dyDescent="0.3">
      <c r="A26" s="1" t="s">
        <v>34</v>
      </c>
      <c r="B26" s="1" t="s">
        <v>35</v>
      </c>
      <c r="C26" s="6">
        <v>17000</v>
      </c>
      <c r="D26" s="6">
        <v>24000</v>
      </c>
      <c r="E26" s="13">
        <f>(tblWidelki[[#This Row],[Min]]+tblWidelki[[#This Row],[Max]])/2</f>
        <v>20500</v>
      </c>
      <c r="F26" s="15">
        <v>0.03</v>
      </c>
    </row>
    <row r="29" spans="1:6" x14ac:dyDescent="0.3">
      <c r="A29" s="12" t="s">
        <v>36</v>
      </c>
    </row>
    <row r="30" spans="1:6" x14ac:dyDescent="0.3">
      <c r="A30" s="4" t="s">
        <v>37</v>
      </c>
      <c r="C30" s="4" t="s">
        <v>42</v>
      </c>
      <c r="E30" s="4" t="s">
        <v>366</v>
      </c>
    </row>
    <row r="31" spans="1:6" x14ac:dyDescent="0.3">
      <c r="A31" s="1" t="s">
        <v>38</v>
      </c>
      <c r="C31" s="1" t="s">
        <v>43</v>
      </c>
      <c r="E31" s="1" t="s">
        <v>367</v>
      </c>
    </row>
    <row r="32" spans="1:6" x14ac:dyDescent="0.3">
      <c r="A32" s="1" t="s">
        <v>39</v>
      </c>
      <c r="C32" s="1" t="s">
        <v>44</v>
      </c>
      <c r="E32" s="62" t="str">
        <f>A31</f>
        <v>Katowice</v>
      </c>
    </row>
    <row r="33" spans="1:5" x14ac:dyDescent="0.3">
      <c r="A33" s="1" t="s">
        <v>40</v>
      </c>
      <c r="C33" s="1" t="s">
        <v>45</v>
      </c>
      <c r="E33" s="62" t="str">
        <f>A32</f>
        <v>Kraków</v>
      </c>
    </row>
    <row r="34" spans="1:5" x14ac:dyDescent="0.3">
      <c r="A34" s="1" t="s">
        <v>41</v>
      </c>
      <c r="C34" s="1" t="s">
        <v>46</v>
      </c>
      <c r="E34" s="62" t="str">
        <f>A33</f>
        <v>Ustroń</v>
      </c>
    </row>
    <row r="35" spans="1:5" x14ac:dyDescent="0.3">
      <c r="C35" s="1" t="s">
        <v>47</v>
      </c>
      <c r="E35" s="62" t="str">
        <f>A34</f>
        <v>Bielsko-Biała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D83-A32E-4CEF-A91F-62ACCDB8D9C5}">
  <sheetPr>
    <tabColor rgb="FF7F7F7F"/>
  </sheetPr>
  <dimension ref="A1:Z187"/>
  <sheetViews>
    <sheetView workbookViewId="0">
      <pane ySplit="3" topLeftCell="A4" activePane="bottomLeft" state="frozen"/>
      <selection pane="bottomLeft" activeCell="S18" sqref="S18"/>
    </sheetView>
  </sheetViews>
  <sheetFormatPr defaultRowHeight="14.4" x14ac:dyDescent="0.3"/>
  <cols>
    <col min="1" max="2" width="16.33203125" style="1" customWidth="1"/>
    <col min="3" max="3" width="22.21875" style="1" customWidth="1"/>
    <col min="4" max="4" width="35.21875" style="1" customWidth="1"/>
    <col min="5" max="7" width="16.33203125" style="1" customWidth="1"/>
    <col min="8" max="8" width="23.109375" style="1" customWidth="1"/>
    <col min="9" max="21" width="16.33203125" style="1" customWidth="1"/>
    <col min="22" max="22" width="48.109375" style="1" customWidth="1"/>
    <col min="23" max="26" width="8.88671875" style="1"/>
  </cols>
  <sheetData>
    <row r="1" spans="1:22" ht="21" x14ac:dyDescent="0.4">
      <c r="A1" s="2" t="s">
        <v>272</v>
      </c>
    </row>
    <row r="2" spans="1:22" x14ac:dyDescent="0.3">
      <c r="A2" s="3" t="s">
        <v>273</v>
      </c>
    </row>
    <row r="3" spans="1:22" ht="30" customHeight="1" x14ac:dyDescent="0.3">
      <c r="A3" s="22" t="s">
        <v>48</v>
      </c>
      <c r="B3" s="22" t="s">
        <v>37</v>
      </c>
      <c r="C3" s="22" t="s">
        <v>42</v>
      </c>
      <c r="D3" s="22" t="s">
        <v>49</v>
      </c>
      <c r="E3" s="22" t="s">
        <v>18</v>
      </c>
      <c r="F3" s="22" t="s">
        <v>50</v>
      </c>
      <c r="G3" s="22" t="s">
        <v>51</v>
      </c>
      <c r="H3" s="22" t="s">
        <v>52</v>
      </c>
      <c r="I3" s="22" t="s">
        <v>53</v>
      </c>
      <c r="J3" s="22" t="s">
        <v>54</v>
      </c>
      <c r="K3" s="22" t="s">
        <v>55</v>
      </c>
      <c r="L3" s="22" t="s">
        <v>56</v>
      </c>
      <c r="M3" s="22" t="s">
        <v>57</v>
      </c>
      <c r="N3" s="23" t="s">
        <v>263</v>
      </c>
      <c r="O3" s="23" t="s">
        <v>264</v>
      </c>
      <c r="P3" s="23" t="s">
        <v>265</v>
      </c>
      <c r="Q3" s="23" t="s">
        <v>266</v>
      </c>
      <c r="R3" s="23" t="s">
        <v>267</v>
      </c>
      <c r="S3" s="23" t="s">
        <v>268</v>
      </c>
      <c r="T3" s="23" t="s">
        <v>269</v>
      </c>
      <c r="U3" s="23" t="s">
        <v>270</v>
      </c>
      <c r="V3" s="23" t="s">
        <v>271</v>
      </c>
    </row>
    <row r="4" spans="1:22" x14ac:dyDescent="0.3">
      <c r="A4" s="1" t="s">
        <v>191</v>
      </c>
      <c r="B4" s="1" t="s">
        <v>39</v>
      </c>
      <c r="C4" s="1" t="s">
        <v>43</v>
      </c>
      <c r="D4" s="1" t="s">
        <v>66</v>
      </c>
      <c r="E4" s="1" t="s">
        <v>28</v>
      </c>
      <c r="F4" s="1" t="s">
        <v>67</v>
      </c>
      <c r="G4" s="17">
        <v>42644</v>
      </c>
      <c r="H4" s="1" t="s">
        <v>61</v>
      </c>
      <c r="I4" s="18">
        <v>1</v>
      </c>
      <c r="J4" s="19"/>
      <c r="K4" s="19">
        <v>0</v>
      </c>
      <c r="L4" s="1" t="s">
        <v>62</v>
      </c>
      <c r="M4" s="17"/>
      <c r="N4" s="19">
        <f>tblKadry[[#This Row],[Wynagrodzenie_zasadnicze]]+tblKadry[[#This Row],[Dodatek_funkcyjny]]</f>
        <v>0</v>
      </c>
      <c r="O4" s="19" t="str">
        <f>IF(OR(tblKadry[[#This Row],[Wynagrodzenie_zasadnicze]]="",tblKadry[[#This Row],[Etat]]=0),"",tblKadry[[#This Row],[Wynagrodzenie_zasadnicze]]/tblKadry[[#This Row],[Etat]])</f>
        <v/>
      </c>
      <c r="P4" s="21">
        <f>IF(AND(tblKadry[[#This Row],[Status]]="Aktywny",tblKadry[[#This Row],[Data_zatrudnienia]]&lt;=pDataRaportu),1,0)</f>
        <v>1</v>
      </c>
      <c r="Q4" s="20">
        <f>IF(tblKadry[[#This Row],[Data_zatrudnienia]]&gt;pDataRaportu,0,ROUND(YEARFRAC(tblKadry[[#This Row],[Data_zatrudnienia]],IF(tblKadry[[#This Row],[Data_zwolnienia]]="",pDataRaportu,tblKadry[[#This Row],[Data_zwolnienia]])),1))</f>
        <v>10</v>
      </c>
      <c r="R4" s="19">
        <f>tblKadry[[#This Row],[Brutto_mies]]*(1+pNarzut)</f>
        <v>0</v>
      </c>
      <c r="S4" s="19">
        <f>_xlfn.XLOOKUP(tblKadry[[#This Row],[Grupa]],tblWidelki[Grupa],tblWidelki[Środek],"")</f>
        <v>8500</v>
      </c>
      <c r="T4" s="18" t="str">
        <f>IF(tblKadry[[#This Row],[Stawka_pełny_etat]]="","",tblKadry[[#This Row],[Stawka_pełny_etat]]/tblKadry[[#This Row],[Środek_widełek]])</f>
        <v/>
      </c>
      <c r="U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/>
      </c>
      <c r="V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Brak wynagrodzenia</v>
      </c>
    </row>
    <row r="5" spans="1:22" x14ac:dyDescent="0.3">
      <c r="A5" s="1" t="s">
        <v>205</v>
      </c>
      <c r="B5" s="1" t="s">
        <v>38</v>
      </c>
      <c r="C5" s="1" t="s">
        <v>44</v>
      </c>
      <c r="D5" s="1" t="s">
        <v>78</v>
      </c>
      <c r="E5" s="1" t="s">
        <v>34</v>
      </c>
      <c r="F5" s="1" t="s">
        <v>67</v>
      </c>
      <c r="G5" s="17">
        <v>39651</v>
      </c>
      <c r="H5" s="1" t="s">
        <v>61</v>
      </c>
      <c r="I5" s="18">
        <v>1</v>
      </c>
      <c r="J5" s="19">
        <v>25750</v>
      </c>
      <c r="K5" s="19">
        <v>0</v>
      </c>
      <c r="L5" s="1" t="s">
        <v>62</v>
      </c>
      <c r="M5" s="17"/>
      <c r="N5" s="19">
        <f>tblKadry[[#This Row],[Wynagrodzenie_zasadnicze]]+tblKadry[[#This Row],[Dodatek_funkcyjny]]</f>
        <v>25750</v>
      </c>
      <c r="O5" s="19">
        <f>IF(OR(tblKadry[[#This Row],[Wynagrodzenie_zasadnicze]]="",tblKadry[[#This Row],[Etat]]=0),"",tblKadry[[#This Row],[Wynagrodzenie_zasadnicze]]/tblKadry[[#This Row],[Etat]])</f>
        <v>25750</v>
      </c>
      <c r="P5" s="21">
        <f>IF(AND(tblKadry[[#This Row],[Status]]="Aktywny",tblKadry[[#This Row],[Data_zatrudnienia]]&lt;=pDataRaportu),1,0)</f>
        <v>1</v>
      </c>
      <c r="Q5" s="20">
        <f>IF(tblKadry[[#This Row],[Data_zatrudnienia]]&gt;pDataRaportu,0,ROUND(YEARFRAC(tblKadry[[#This Row],[Data_zatrudnienia]],IF(tblKadry[[#This Row],[Data_zwolnienia]]="",pDataRaportu,tblKadry[[#This Row],[Data_zwolnienia]])),1))</f>
        <v>18.2</v>
      </c>
      <c r="R5" s="19">
        <f>tblKadry[[#This Row],[Brutto_mies]]*(1+pNarzut)</f>
        <v>31409.85</v>
      </c>
      <c r="S5" s="19">
        <f>_xlfn.XLOOKUP(tblKadry[[#This Row],[Grupa]],tblWidelki[Grupa],tblWidelki[Środek],"")</f>
        <v>20500</v>
      </c>
      <c r="T5" s="18">
        <f>IF(tblKadry[[#This Row],[Stawka_pełny_etat]]="","",tblKadry[[#This Row],[Stawka_pełny_etat]]/tblKadry[[#This Row],[Środek_widełek]])</f>
        <v>1.2560975609756098</v>
      </c>
      <c r="U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" spans="1:22" x14ac:dyDescent="0.3">
      <c r="A6" s="1" t="s">
        <v>82</v>
      </c>
      <c r="B6" s="1" t="s">
        <v>38</v>
      </c>
      <c r="C6" s="1" t="s">
        <v>45</v>
      </c>
      <c r="D6" s="1" t="s">
        <v>78</v>
      </c>
      <c r="E6" s="1" t="s">
        <v>34</v>
      </c>
      <c r="F6" s="1" t="s">
        <v>67</v>
      </c>
      <c r="G6" s="17">
        <v>43833</v>
      </c>
      <c r="H6" s="1" t="s">
        <v>61</v>
      </c>
      <c r="I6" s="18">
        <v>1</v>
      </c>
      <c r="J6" s="19">
        <v>25270</v>
      </c>
      <c r="K6" s="19">
        <v>0</v>
      </c>
      <c r="L6" s="1" t="s">
        <v>83</v>
      </c>
      <c r="M6" s="17">
        <v>46293</v>
      </c>
      <c r="N6" s="19">
        <f>tblKadry[[#This Row],[Wynagrodzenie_zasadnicze]]+tblKadry[[#This Row],[Dodatek_funkcyjny]]</f>
        <v>25270</v>
      </c>
      <c r="O6" s="19">
        <f>IF(OR(tblKadry[[#This Row],[Wynagrodzenie_zasadnicze]]="",tblKadry[[#This Row],[Etat]]=0),"",tblKadry[[#This Row],[Wynagrodzenie_zasadnicze]]/tblKadry[[#This Row],[Etat]])</f>
        <v>25270</v>
      </c>
      <c r="P6" s="21">
        <f>IF(AND(tblKadry[[#This Row],[Status]]="Aktywny",tblKadry[[#This Row],[Data_zatrudnienia]]&lt;=pDataRaportu),1,0)</f>
        <v>0</v>
      </c>
      <c r="Q6" s="20">
        <f>IF(tblKadry[[#This Row],[Data_zatrudnienia]]&gt;pDataRaportu,0,ROUND(YEARFRAC(tblKadry[[#This Row],[Data_zatrudnienia]],IF(tblKadry[[#This Row],[Data_zwolnienia]]="",pDataRaportu,tblKadry[[#This Row],[Data_zwolnienia]])),1))</f>
        <v>6.7</v>
      </c>
      <c r="R6" s="19">
        <f>tblKadry[[#This Row],[Brutto_mies]]*(1+pNarzut)</f>
        <v>30824.346000000001</v>
      </c>
      <c r="S6" s="19">
        <f>_xlfn.XLOOKUP(tblKadry[[#This Row],[Grupa]],tblWidelki[Grupa],tblWidelki[Środek],"")</f>
        <v>20500</v>
      </c>
      <c r="T6" s="18">
        <f>IF(tblKadry[[#This Row],[Stawka_pełny_etat]]="","",tblKadry[[#This Row],[Stawka_pełny_etat]]/tblKadry[[#This Row],[Środek_widełek]])</f>
        <v>1.2326829268292683</v>
      </c>
      <c r="U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" spans="1:22" x14ac:dyDescent="0.3">
      <c r="A7" s="1" t="s">
        <v>155</v>
      </c>
      <c r="B7" s="1" t="s">
        <v>40</v>
      </c>
      <c r="C7" s="1" t="s">
        <v>43</v>
      </c>
      <c r="D7" s="1" t="s">
        <v>78</v>
      </c>
      <c r="E7" s="1" t="s">
        <v>34</v>
      </c>
      <c r="F7" s="1" t="s">
        <v>60</v>
      </c>
      <c r="G7" s="17">
        <v>40950</v>
      </c>
      <c r="H7" s="1" t="s">
        <v>61</v>
      </c>
      <c r="I7" s="18">
        <v>1</v>
      </c>
      <c r="J7" s="19">
        <v>24850</v>
      </c>
      <c r="K7" s="19">
        <v>0</v>
      </c>
      <c r="L7" s="1" t="s">
        <v>62</v>
      </c>
      <c r="M7" s="17"/>
      <c r="N7" s="19">
        <f>tblKadry[[#This Row],[Wynagrodzenie_zasadnicze]]+tblKadry[[#This Row],[Dodatek_funkcyjny]]</f>
        <v>24850</v>
      </c>
      <c r="O7" s="19">
        <f>IF(OR(tblKadry[[#This Row],[Wynagrodzenie_zasadnicze]]="",tblKadry[[#This Row],[Etat]]=0),"",tblKadry[[#This Row],[Wynagrodzenie_zasadnicze]]/tblKadry[[#This Row],[Etat]])</f>
        <v>24850</v>
      </c>
      <c r="P7" s="21">
        <f>IF(AND(tblKadry[[#This Row],[Status]]="Aktywny",tblKadry[[#This Row],[Data_zatrudnienia]]&lt;=pDataRaportu),1,0)</f>
        <v>1</v>
      </c>
      <c r="Q7" s="20">
        <f>IF(tblKadry[[#This Row],[Data_zatrudnienia]]&gt;pDataRaportu,0,ROUND(YEARFRAC(tblKadry[[#This Row],[Data_zatrudnienia]],IF(tblKadry[[#This Row],[Data_zwolnienia]]="",pDataRaportu,tblKadry[[#This Row],[Data_zwolnienia]])),1))</f>
        <v>14.6</v>
      </c>
      <c r="R7" s="19">
        <f>tblKadry[[#This Row],[Brutto_mies]]*(1+pNarzut)</f>
        <v>30312.03</v>
      </c>
      <c r="S7" s="19">
        <f>_xlfn.XLOOKUP(tblKadry[[#This Row],[Grupa]],tblWidelki[Grupa],tblWidelki[Środek],"")</f>
        <v>20500</v>
      </c>
      <c r="T7" s="18">
        <f>IF(tblKadry[[#This Row],[Stawka_pełny_etat]]="","",tblKadry[[#This Row],[Stawka_pełny_etat]]/tblKadry[[#This Row],[Środek_widełek]])</f>
        <v>1.2121951219512195</v>
      </c>
      <c r="U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" spans="1:22" x14ac:dyDescent="0.3">
      <c r="A8" s="1" t="s">
        <v>193</v>
      </c>
      <c r="B8" s="1" t="s">
        <v>41</v>
      </c>
      <c r="C8" s="1" t="s">
        <v>44</v>
      </c>
      <c r="D8" s="1" t="s">
        <v>78</v>
      </c>
      <c r="E8" s="1" t="s">
        <v>34</v>
      </c>
      <c r="F8" s="1" t="s">
        <v>60</v>
      </c>
      <c r="G8" s="17">
        <v>39978</v>
      </c>
      <c r="H8" s="1" t="s">
        <v>68</v>
      </c>
      <c r="I8" s="18">
        <v>1</v>
      </c>
      <c r="J8" s="19">
        <v>23690</v>
      </c>
      <c r="K8" s="19">
        <v>0</v>
      </c>
      <c r="L8" s="1" t="s">
        <v>83</v>
      </c>
      <c r="M8" s="17">
        <v>46081</v>
      </c>
      <c r="N8" s="19">
        <f>tblKadry[[#This Row],[Wynagrodzenie_zasadnicze]]+tblKadry[[#This Row],[Dodatek_funkcyjny]]</f>
        <v>23690</v>
      </c>
      <c r="O8" s="19">
        <f>IF(OR(tblKadry[[#This Row],[Wynagrodzenie_zasadnicze]]="",tblKadry[[#This Row],[Etat]]=0),"",tblKadry[[#This Row],[Wynagrodzenie_zasadnicze]]/tblKadry[[#This Row],[Etat]])</f>
        <v>23690</v>
      </c>
      <c r="P8" s="21">
        <f>IF(AND(tblKadry[[#This Row],[Status]]="Aktywny",tblKadry[[#This Row],[Data_zatrudnienia]]&lt;=pDataRaportu),1,0)</f>
        <v>0</v>
      </c>
      <c r="Q8" s="20">
        <f>IF(tblKadry[[#This Row],[Data_zatrudnienia]]&gt;pDataRaportu,0,ROUND(YEARFRAC(tblKadry[[#This Row],[Data_zatrudnienia]],IF(tblKadry[[#This Row],[Data_zwolnienia]]="",pDataRaportu,tblKadry[[#This Row],[Data_zwolnienia]])),1))</f>
        <v>16.7</v>
      </c>
      <c r="R8" s="19">
        <f>tblKadry[[#This Row],[Brutto_mies]]*(1+pNarzut)</f>
        <v>28897.061999999998</v>
      </c>
      <c r="S8" s="19">
        <f>_xlfn.XLOOKUP(tblKadry[[#This Row],[Grupa]],tblWidelki[Grupa],tblWidelki[Środek],"")</f>
        <v>20500</v>
      </c>
      <c r="T8" s="18">
        <f>IF(tblKadry[[#This Row],[Stawka_pełny_etat]]="","",tblKadry[[#This Row],[Stawka_pełny_etat]]/tblKadry[[#This Row],[Środek_widełek]])</f>
        <v>1.1556097560975609</v>
      </c>
      <c r="U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" spans="1:22" x14ac:dyDescent="0.3">
      <c r="A9" s="1" t="s">
        <v>90</v>
      </c>
      <c r="B9" s="1" t="s">
        <v>38</v>
      </c>
      <c r="C9" s="1" t="s">
        <v>45</v>
      </c>
      <c r="D9" s="1" t="s">
        <v>78</v>
      </c>
      <c r="E9" s="1" t="s">
        <v>34</v>
      </c>
      <c r="F9" s="1" t="s">
        <v>60</v>
      </c>
      <c r="G9" s="17">
        <v>40394</v>
      </c>
      <c r="H9" s="1" t="s">
        <v>61</v>
      </c>
      <c r="I9" s="18">
        <v>1</v>
      </c>
      <c r="J9" s="19">
        <v>23320</v>
      </c>
      <c r="K9" s="19">
        <v>0</v>
      </c>
      <c r="L9" s="1" t="s">
        <v>62</v>
      </c>
      <c r="M9" s="17"/>
      <c r="N9" s="19">
        <f>tblKadry[[#This Row],[Wynagrodzenie_zasadnicze]]+tblKadry[[#This Row],[Dodatek_funkcyjny]]</f>
        <v>23320</v>
      </c>
      <c r="O9" s="19">
        <f>IF(OR(tblKadry[[#This Row],[Wynagrodzenie_zasadnicze]]="",tblKadry[[#This Row],[Etat]]=0),"",tblKadry[[#This Row],[Wynagrodzenie_zasadnicze]]/tblKadry[[#This Row],[Etat]])</f>
        <v>23320</v>
      </c>
      <c r="P9" s="21">
        <f>IF(AND(tblKadry[[#This Row],[Status]]="Aktywny",tblKadry[[#This Row],[Data_zatrudnienia]]&lt;=pDataRaportu),1,0)</f>
        <v>1</v>
      </c>
      <c r="Q9" s="20">
        <f>IF(tblKadry[[#This Row],[Data_zatrudnienia]]&gt;pDataRaportu,0,ROUND(YEARFRAC(tblKadry[[#This Row],[Data_zatrudnienia]],IF(tblKadry[[#This Row],[Data_zwolnienia]]="",pDataRaportu,tblKadry[[#This Row],[Data_zwolnienia]])),1))</f>
        <v>16.2</v>
      </c>
      <c r="R9" s="19">
        <f>tblKadry[[#This Row],[Brutto_mies]]*(1+pNarzut)</f>
        <v>28445.736000000001</v>
      </c>
      <c r="S9" s="19">
        <f>_xlfn.XLOOKUP(tblKadry[[#This Row],[Grupa]],tblWidelki[Grupa],tblWidelki[Środek],"")</f>
        <v>20500</v>
      </c>
      <c r="T9" s="18">
        <f>IF(tblKadry[[#This Row],[Stawka_pełny_etat]]="","",tblKadry[[#This Row],[Stawka_pełny_etat]]/tblKadry[[#This Row],[Środek_widełek]])</f>
        <v>1.137560975609756</v>
      </c>
      <c r="U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" spans="1:22" x14ac:dyDescent="0.3">
      <c r="A10" s="1" t="s">
        <v>172</v>
      </c>
      <c r="B10" s="1" t="s">
        <v>39</v>
      </c>
      <c r="C10" s="1" t="s">
        <v>43</v>
      </c>
      <c r="D10" s="1" t="s">
        <v>78</v>
      </c>
      <c r="E10" s="1" t="s">
        <v>34</v>
      </c>
      <c r="F10" s="1" t="s">
        <v>60</v>
      </c>
      <c r="G10" s="17">
        <v>40030</v>
      </c>
      <c r="H10" s="1" t="s">
        <v>61</v>
      </c>
      <c r="I10" s="18">
        <v>1</v>
      </c>
      <c r="J10" s="19">
        <v>22690</v>
      </c>
      <c r="K10" s="19">
        <v>0</v>
      </c>
      <c r="L10" s="1" t="s">
        <v>62</v>
      </c>
      <c r="M10" s="17"/>
      <c r="N10" s="19">
        <f>tblKadry[[#This Row],[Wynagrodzenie_zasadnicze]]+tblKadry[[#This Row],[Dodatek_funkcyjny]]</f>
        <v>22690</v>
      </c>
      <c r="O10" s="19">
        <f>IF(OR(tblKadry[[#This Row],[Wynagrodzenie_zasadnicze]]="",tblKadry[[#This Row],[Etat]]=0),"",tblKadry[[#This Row],[Wynagrodzenie_zasadnicze]]/tblKadry[[#This Row],[Etat]])</f>
        <v>22690</v>
      </c>
      <c r="P10" s="21">
        <f>IF(AND(tblKadry[[#This Row],[Status]]="Aktywny",tblKadry[[#This Row],[Data_zatrudnienia]]&lt;=pDataRaportu),1,0)</f>
        <v>1</v>
      </c>
      <c r="Q10" s="20">
        <f>IF(tblKadry[[#This Row],[Data_zatrudnienia]]&gt;pDataRaportu,0,ROUND(YEARFRAC(tblKadry[[#This Row],[Data_zatrudnienia]],IF(tblKadry[[#This Row],[Data_zwolnienia]]="",pDataRaportu,tblKadry[[#This Row],[Data_zwolnienia]])),1))</f>
        <v>17.2</v>
      </c>
      <c r="R10" s="19">
        <f>tblKadry[[#This Row],[Brutto_mies]]*(1+pNarzut)</f>
        <v>27677.261999999999</v>
      </c>
      <c r="S10" s="19">
        <f>_xlfn.XLOOKUP(tblKadry[[#This Row],[Grupa]],tblWidelki[Grupa],tblWidelki[Środek],"")</f>
        <v>20500</v>
      </c>
      <c r="T10" s="18">
        <f>IF(tblKadry[[#This Row],[Stawka_pełny_etat]]="","",tblKadry[[#This Row],[Stawka_pełny_etat]]/tblKadry[[#This Row],[Środek_widełek]])</f>
        <v>1.106829268292683</v>
      </c>
      <c r="U1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" spans="1:22" x14ac:dyDescent="0.3">
      <c r="A11" s="1" t="s">
        <v>77</v>
      </c>
      <c r="B11" s="1" t="s">
        <v>39</v>
      </c>
      <c r="C11" s="1" t="s">
        <v>44</v>
      </c>
      <c r="D11" s="1" t="s">
        <v>78</v>
      </c>
      <c r="E11" s="1" t="s">
        <v>34</v>
      </c>
      <c r="F11" s="1" t="s">
        <v>60</v>
      </c>
      <c r="G11" s="17">
        <v>44429</v>
      </c>
      <c r="H11" s="1" t="s">
        <v>61</v>
      </c>
      <c r="I11" s="18">
        <v>0.75</v>
      </c>
      <c r="J11" s="19">
        <v>16890</v>
      </c>
      <c r="K11" s="19">
        <v>0</v>
      </c>
      <c r="L11" s="1" t="s">
        <v>62</v>
      </c>
      <c r="M11" s="17"/>
      <c r="N11" s="19">
        <f>tblKadry[[#This Row],[Wynagrodzenie_zasadnicze]]+tblKadry[[#This Row],[Dodatek_funkcyjny]]</f>
        <v>16890</v>
      </c>
      <c r="O11" s="19">
        <f>IF(OR(tblKadry[[#This Row],[Wynagrodzenie_zasadnicze]]="",tblKadry[[#This Row],[Etat]]=0),"",tblKadry[[#This Row],[Wynagrodzenie_zasadnicze]]/tblKadry[[#This Row],[Etat]])</f>
        <v>22520</v>
      </c>
      <c r="P11" s="21">
        <f>IF(AND(tblKadry[[#This Row],[Status]]="Aktywny",tblKadry[[#This Row],[Data_zatrudnienia]]&lt;=pDataRaportu),1,0)</f>
        <v>1</v>
      </c>
      <c r="Q11" s="20">
        <f>IF(tblKadry[[#This Row],[Data_zatrudnienia]]&gt;pDataRaportu,0,ROUND(YEARFRAC(tblKadry[[#This Row],[Data_zatrudnienia]],IF(tblKadry[[#This Row],[Data_zwolnienia]]="",pDataRaportu,tblKadry[[#This Row],[Data_zwolnienia]])),1))</f>
        <v>5.0999999999999996</v>
      </c>
      <c r="R11" s="19">
        <f>tblKadry[[#This Row],[Brutto_mies]]*(1+pNarzut)</f>
        <v>20602.421999999999</v>
      </c>
      <c r="S11" s="19">
        <f>_xlfn.XLOOKUP(tblKadry[[#This Row],[Grupa]],tblWidelki[Grupa],tblWidelki[Środek],"")</f>
        <v>20500</v>
      </c>
      <c r="T11" s="18">
        <f>IF(tblKadry[[#This Row],[Stawka_pełny_etat]]="","",tblKadry[[#This Row],[Stawka_pełny_etat]]/tblKadry[[#This Row],[Środek_widełek]])</f>
        <v>1.0985365853658537</v>
      </c>
      <c r="U1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" spans="1:22" x14ac:dyDescent="0.3">
      <c r="A12" s="1" t="s">
        <v>260</v>
      </c>
      <c r="B12" s="1" t="s">
        <v>39</v>
      </c>
      <c r="C12" s="1" t="s">
        <v>45</v>
      </c>
      <c r="D12" s="1" t="s">
        <v>78</v>
      </c>
      <c r="E12" s="1" t="s">
        <v>34</v>
      </c>
      <c r="F12" s="1" t="s">
        <v>60</v>
      </c>
      <c r="G12" s="17">
        <v>44854</v>
      </c>
      <c r="H12" s="1" t="s">
        <v>61</v>
      </c>
      <c r="I12" s="18">
        <v>1</v>
      </c>
      <c r="J12" s="19">
        <v>22020</v>
      </c>
      <c r="K12" s="19">
        <v>0</v>
      </c>
      <c r="L12" s="1" t="s">
        <v>62</v>
      </c>
      <c r="M12" s="17"/>
      <c r="N12" s="19">
        <f>tblKadry[[#This Row],[Wynagrodzenie_zasadnicze]]+tblKadry[[#This Row],[Dodatek_funkcyjny]]</f>
        <v>22020</v>
      </c>
      <c r="O12" s="19">
        <f>IF(OR(tblKadry[[#This Row],[Wynagrodzenie_zasadnicze]]="",tblKadry[[#This Row],[Etat]]=0),"",tblKadry[[#This Row],[Wynagrodzenie_zasadnicze]]/tblKadry[[#This Row],[Etat]])</f>
        <v>22020</v>
      </c>
      <c r="P12" s="21">
        <f>IF(AND(tblKadry[[#This Row],[Status]]="Aktywny",tblKadry[[#This Row],[Data_zatrudnienia]]&lt;=pDataRaportu),1,0)</f>
        <v>1</v>
      </c>
      <c r="Q12" s="20">
        <f>IF(tblKadry[[#This Row],[Data_zatrudnienia]]&gt;pDataRaportu,0,ROUND(YEARFRAC(tblKadry[[#This Row],[Data_zatrudnienia]],IF(tblKadry[[#This Row],[Data_zwolnienia]]="",pDataRaportu,tblKadry[[#This Row],[Data_zwolnienia]])),1))</f>
        <v>3.9</v>
      </c>
      <c r="R12" s="19">
        <f>tblKadry[[#This Row],[Brutto_mies]]*(1+pNarzut)</f>
        <v>26859.995999999999</v>
      </c>
      <c r="S12" s="19">
        <f>_xlfn.XLOOKUP(tblKadry[[#This Row],[Grupa]],tblWidelki[Grupa],tblWidelki[Środek],"")</f>
        <v>20500</v>
      </c>
      <c r="T12" s="18">
        <f>IF(tblKadry[[#This Row],[Stawka_pełny_etat]]="","",tblKadry[[#This Row],[Stawka_pełny_etat]]/tblKadry[[#This Row],[Środek_widełek]])</f>
        <v>1.0741463414634147</v>
      </c>
      <c r="U1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" spans="1:22" x14ac:dyDescent="0.3">
      <c r="A13" s="1" t="s">
        <v>259</v>
      </c>
      <c r="B13" s="1" t="s">
        <v>41</v>
      </c>
      <c r="C13" s="1" t="s">
        <v>45</v>
      </c>
      <c r="D13" s="1" t="s">
        <v>78</v>
      </c>
      <c r="E13" s="1" t="s">
        <v>34</v>
      </c>
      <c r="F13" s="1" t="s">
        <v>60</v>
      </c>
      <c r="G13" s="17">
        <v>40140</v>
      </c>
      <c r="H13" s="1" t="s">
        <v>61</v>
      </c>
      <c r="I13" s="18">
        <v>1</v>
      </c>
      <c r="J13" s="19">
        <v>21850</v>
      </c>
      <c r="K13" s="19">
        <v>0</v>
      </c>
      <c r="L13" s="1" t="s">
        <v>62</v>
      </c>
      <c r="M13" s="17"/>
      <c r="N13" s="19">
        <f>tblKadry[[#This Row],[Wynagrodzenie_zasadnicze]]+tblKadry[[#This Row],[Dodatek_funkcyjny]]</f>
        <v>21850</v>
      </c>
      <c r="O13" s="19">
        <f>IF(OR(tblKadry[[#This Row],[Wynagrodzenie_zasadnicze]]="",tblKadry[[#This Row],[Etat]]=0),"",tblKadry[[#This Row],[Wynagrodzenie_zasadnicze]]/tblKadry[[#This Row],[Etat]])</f>
        <v>21850</v>
      </c>
      <c r="P13" s="21">
        <f>IF(AND(tblKadry[[#This Row],[Status]]="Aktywny",tblKadry[[#This Row],[Data_zatrudnienia]]&lt;=pDataRaportu),1,0)</f>
        <v>1</v>
      </c>
      <c r="Q13" s="20">
        <f>IF(tblKadry[[#This Row],[Data_zatrudnienia]]&gt;pDataRaportu,0,ROUND(YEARFRAC(tblKadry[[#This Row],[Data_zatrudnienia]],IF(tblKadry[[#This Row],[Data_zwolnienia]]="",pDataRaportu,tblKadry[[#This Row],[Data_zwolnienia]])),1))</f>
        <v>16.899999999999999</v>
      </c>
      <c r="R13" s="19">
        <f>tblKadry[[#This Row],[Brutto_mies]]*(1+pNarzut)</f>
        <v>26652.63</v>
      </c>
      <c r="S13" s="19">
        <f>_xlfn.XLOOKUP(tblKadry[[#This Row],[Grupa]],tblWidelki[Grupa],tblWidelki[Środek],"")</f>
        <v>20500</v>
      </c>
      <c r="T13" s="18">
        <f>IF(tblKadry[[#This Row],[Stawka_pełny_etat]]="","",tblKadry[[#This Row],[Stawka_pełny_etat]]/tblKadry[[#This Row],[Środek_widełek]])</f>
        <v>1.0658536585365854</v>
      </c>
      <c r="U1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" spans="1:22" x14ac:dyDescent="0.3">
      <c r="A14" s="1" t="s">
        <v>111</v>
      </c>
      <c r="B14" s="1" t="s">
        <v>41</v>
      </c>
      <c r="C14" s="1" t="s">
        <v>45</v>
      </c>
      <c r="D14" s="1" t="s">
        <v>78</v>
      </c>
      <c r="E14" s="1" t="s">
        <v>34</v>
      </c>
      <c r="F14" s="1" t="s">
        <v>67</v>
      </c>
      <c r="G14" s="17">
        <v>42912</v>
      </c>
      <c r="H14" s="1" t="s">
        <v>61</v>
      </c>
      <c r="I14" s="18">
        <v>1</v>
      </c>
      <c r="J14" s="19">
        <v>21640</v>
      </c>
      <c r="K14" s="19">
        <v>0</v>
      </c>
      <c r="L14" s="1" t="s">
        <v>62</v>
      </c>
      <c r="M14" s="17"/>
      <c r="N14" s="19">
        <f>tblKadry[[#This Row],[Wynagrodzenie_zasadnicze]]+tblKadry[[#This Row],[Dodatek_funkcyjny]]</f>
        <v>21640</v>
      </c>
      <c r="O14" s="19">
        <f>IF(OR(tblKadry[[#This Row],[Wynagrodzenie_zasadnicze]]="",tblKadry[[#This Row],[Etat]]=0),"",tblKadry[[#This Row],[Wynagrodzenie_zasadnicze]]/tblKadry[[#This Row],[Etat]])</f>
        <v>21640</v>
      </c>
      <c r="P14" s="21">
        <f>IF(AND(tblKadry[[#This Row],[Status]]="Aktywny",tblKadry[[#This Row],[Data_zatrudnienia]]&lt;=pDataRaportu),1,0)</f>
        <v>1</v>
      </c>
      <c r="Q14" s="20">
        <f>IF(tblKadry[[#This Row],[Data_zatrudnienia]]&gt;pDataRaportu,0,ROUND(YEARFRAC(tblKadry[[#This Row],[Data_zatrudnienia]],IF(tblKadry[[#This Row],[Data_zwolnienia]]="",pDataRaportu,tblKadry[[#This Row],[Data_zwolnienia]])),1))</f>
        <v>9.3000000000000007</v>
      </c>
      <c r="R14" s="19">
        <f>tblKadry[[#This Row],[Brutto_mies]]*(1+pNarzut)</f>
        <v>26396.472000000002</v>
      </c>
      <c r="S14" s="19">
        <f>_xlfn.XLOOKUP(tblKadry[[#This Row],[Grupa]],tblWidelki[Grupa],tblWidelki[Środek],"")</f>
        <v>20500</v>
      </c>
      <c r="T14" s="18">
        <f>IF(tblKadry[[#This Row],[Stawka_pełny_etat]]="","",tblKadry[[#This Row],[Stawka_pełny_etat]]/tblKadry[[#This Row],[Środek_widełek]])</f>
        <v>1.055609756097561</v>
      </c>
      <c r="U1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" spans="1:22" x14ac:dyDescent="0.3">
      <c r="A15" s="1" t="s">
        <v>211</v>
      </c>
      <c r="B15" s="1" t="s">
        <v>40</v>
      </c>
      <c r="C15" s="1" t="s">
        <v>45</v>
      </c>
      <c r="D15" s="1" t="s">
        <v>78</v>
      </c>
      <c r="E15" s="1" t="s">
        <v>34</v>
      </c>
      <c r="F15" s="1" t="s">
        <v>60</v>
      </c>
      <c r="G15" s="17">
        <v>46109</v>
      </c>
      <c r="H15" s="1" t="s">
        <v>71</v>
      </c>
      <c r="I15" s="18">
        <v>1</v>
      </c>
      <c r="J15" s="19">
        <v>21170</v>
      </c>
      <c r="K15" s="19">
        <v>0</v>
      </c>
      <c r="L15" s="1" t="s">
        <v>83</v>
      </c>
      <c r="M15" s="17">
        <v>46081</v>
      </c>
      <c r="N15" s="19">
        <f>tblKadry[[#This Row],[Wynagrodzenie_zasadnicze]]+tblKadry[[#This Row],[Dodatek_funkcyjny]]</f>
        <v>21170</v>
      </c>
      <c r="O15" s="19">
        <f>IF(OR(tblKadry[[#This Row],[Wynagrodzenie_zasadnicze]]="",tblKadry[[#This Row],[Etat]]=0),"",tblKadry[[#This Row],[Wynagrodzenie_zasadnicze]]/tblKadry[[#This Row],[Etat]])</f>
        <v>21170</v>
      </c>
      <c r="P15" s="21">
        <f>IF(AND(tblKadry[[#This Row],[Status]]="Aktywny",tblKadry[[#This Row],[Data_zatrudnienia]]&lt;=pDataRaportu),1,0)</f>
        <v>0</v>
      </c>
      <c r="Q15" s="20">
        <f>IF(tblKadry[[#This Row],[Data_zatrudnienia]]&gt;pDataRaportu,0,ROUND(YEARFRAC(tblKadry[[#This Row],[Data_zatrudnienia]],IF(tblKadry[[#This Row],[Data_zwolnienia]]="",pDataRaportu,tblKadry[[#This Row],[Data_zwolnienia]])),1))</f>
        <v>0.1</v>
      </c>
      <c r="R15" s="19">
        <f>tblKadry[[#This Row],[Brutto_mies]]*(1+pNarzut)</f>
        <v>25823.166000000001</v>
      </c>
      <c r="S15" s="19">
        <f>_xlfn.XLOOKUP(tblKadry[[#This Row],[Grupa]],tblWidelki[Grupa],tblWidelki[Środek],"")</f>
        <v>20500</v>
      </c>
      <c r="T15" s="18">
        <f>IF(tblKadry[[#This Row],[Stawka_pełny_etat]]="","",tblKadry[[#This Row],[Stawka_pełny_etat]]/tblKadry[[#This Row],[Środek_widełek]])</f>
        <v>1.0326829268292683</v>
      </c>
      <c r="U1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" spans="1:22" x14ac:dyDescent="0.3">
      <c r="A16" s="1" t="s">
        <v>240</v>
      </c>
      <c r="B16" s="1" t="s">
        <v>39</v>
      </c>
      <c r="C16" s="1" t="s">
        <v>45</v>
      </c>
      <c r="D16" s="1" t="s">
        <v>78</v>
      </c>
      <c r="E16" s="1" t="s">
        <v>34</v>
      </c>
      <c r="F16" s="1" t="s">
        <v>60</v>
      </c>
      <c r="G16" s="17">
        <v>42492</v>
      </c>
      <c r="H16" s="1" t="s">
        <v>61</v>
      </c>
      <c r="I16" s="18">
        <v>0.75</v>
      </c>
      <c r="J16" s="19">
        <v>15728</v>
      </c>
      <c r="K16" s="19">
        <v>0</v>
      </c>
      <c r="L16" s="1" t="s">
        <v>62</v>
      </c>
      <c r="M16" s="17"/>
      <c r="N16" s="19">
        <f>tblKadry[[#This Row],[Wynagrodzenie_zasadnicze]]+tblKadry[[#This Row],[Dodatek_funkcyjny]]</f>
        <v>15728</v>
      </c>
      <c r="O16" s="19">
        <f>IF(OR(tblKadry[[#This Row],[Wynagrodzenie_zasadnicze]]="",tblKadry[[#This Row],[Etat]]=0),"",tblKadry[[#This Row],[Wynagrodzenie_zasadnicze]]/tblKadry[[#This Row],[Etat]])</f>
        <v>20970.666666666668</v>
      </c>
      <c r="P16" s="21">
        <f>IF(AND(tblKadry[[#This Row],[Status]]="Aktywny",tblKadry[[#This Row],[Data_zatrudnienia]]&lt;=pDataRaportu),1,0)</f>
        <v>1</v>
      </c>
      <c r="Q16" s="20">
        <f>IF(tblKadry[[#This Row],[Data_zatrudnienia]]&gt;pDataRaportu,0,ROUND(YEARFRAC(tblKadry[[#This Row],[Data_zatrudnienia]],IF(tblKadry[[#This Row],[Data_zwolnienia]]="",pDataRaportu,tblKadry[[#This Row],[Data_zwolnienia]])),1))</f>
        <v>10.4</v>
      </c>
      <c r="R16" s="19">
        <f>tblKadry[[#This Row],[Brutto_mies]]*(1+pNarzut)</f>
        <v>19185.0144</v>
      </c>
      <c r="S16" s="19">
        <f>_xlfn.XLOOKUP(tblKadry[[#This Row],[Grupa]],tblWidelki[Grupa],tblWidelki[Środek],"")</f>
        <v>20500</v>
      </c>
      <c r="T16" s="18">
        <f>IF(tblKadry[[#This Row],[Stawka_pełny_etat]]="","",tblKadry[[#This Row],[Stawka_pełny_etat]]/tblKadry[[#This Row],[Środek_widełek]])</f>
        <v>1.0229593495934961</v>
      </c>
      <c r="U1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" spans="1:22" x14ac:dyDescent="0.3">
      <c r="A17" s="1" t="s">
        <v>103</v>
      </c>
      <c r="B17" s="1" t="s">
        <v>38</v>
      </c>
      <c r="C17" s="1" t="s">
        <v>43</v>
      </c>
      <c r="D17" s="1" t="s">
        <v>78</v>
      </c>
      <c r="E17" s="1" t="s">
        <v>34</v>
      </c>
      <c r="F17" s="1" t="s">
        <v>67</v>
      </c>
      <c r="G17" s="17">
        <v>40787</v>
      </c>
      <c r="H17" s="1" t="s">
        <v>61</v>
      </c>
      <c r="I17" s="18">
        <v>1</v>
      </c>
      <c r="J17" s="19">
        <v>20910</v>
      </c>
      <c r="K17" s="19">
        <v>0</v>
      </c>
      <c r="L17" s="1" t="s">
        <v>62</v>
      </c>
      <c r="M17" s="17"/>
      <c r="N17" s="19">
        <f>tblKadry[[#This Row],[Wynagrodzenie_zasadnicze]]+tblKadry[[#This Row],[Dodatek_funkcyjny]]</f>
        <v>20910</v>
      </c>
      <c r="O17" s="19">
        <f>IF(OR(tblKadry[[#This Row],[Wynagrodzenie_zasadnicze]]="",tblKadry[[#This Row],[Etat]]=0),"",tblKadry[[#This Row],[Wynagrodzenie_zasadnicze]]/tblKadry[[#This Row],[Etat]])</f>
        <v>20910</v>
      </c>
      <c r="P17" s="21">
        <f>IF(AND(tblKadry[[#This Row],[Status]]="Aktywny",tblKadry[[#This Row],[Data_zatrudnienia]]&lt;=pDataRaportu),1,0)</f>
        <v>1</v>
      </c>
      <c r="Q17" s="20">
        <f>IF(tblKadry[[#This Row],[Data_zatrudnienia]]&gt;pDataRaportu,0,ROUND(YEARFRAC(tblKadry[[#This Row],[Data_zatrudnienia]],IF(tblKadry[[#This Row],[Data_zwolnienia]]="",pDataRaportu,tblKadry[[#This Row],[Data_zwolnienia]])),1))</f>
        <v>15.1</v>
      </c>
      <c r="R17" s="19">
        <f>tblKadry[[#This Row],[Brutto_mies]]*(1+pNarzut)</f>
        <v>25506.018</v>
      </c>
      <c r="S17" s="19">
        <f>_xlfn.XLOOKUP(tblKadry[[#This Row],[Grupa]],tblWidelki[Grupa],tblWidelki[Środek],"")</f>
        <v>20500</v>
      </c>
      <c r="T17" s="18">
        <f>IF(tblKadry[[#This Row],[Stawka_pełny_etat]]="","",tblKadry[[#This Row],[Stawka_pełny_etat]]/tblKadry[[#This Row],[Środek_widełek]])</f>
        <v>1.02</v>
      </c>
      <c r="U1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8" spans="1:22" x14ac:dyDescent="0.3">
      <c r="A18" s="1" t="s">
        <v>157</v>
      </c>
      <c r="B18" s="1" t="s">
        <v>41</v>
      </c>
      <c r="C18" s="1" t="s">
        <v>43</v>
      </c>
      <c r="D18" s="1" t="s">
        <v>116</v>
      </c>
      <c r="E18" s="1" t="s">
        <v>34</v>
      </c>
      <c r="F18" s="1" t="s">
        <v>60</v>
      </c>
      <c r="G18" s="17">
        <v>44942</v>
      </c>
      <c r="H18" s="1" t="s">
        <v>61</v>
      </c>
      <c r="I18" s="18">
        <v>1</v>
      </c>
      <c r="J18" s="19">
        <v>20840</v>
      </c>
      <c r="K18" s="19">
        <v>1500</v>
      </c>
      <c r="L18" s="1" t="s">
        <v>62</v>
      </c>
      <c r="M18" s="17"/>
      <c r="N18" s="19">
        <f>tblKadry[[#This Row],[Wynagrodzenie_zasadnicze]]+tblKadry[[#This Row],[Dodatek_funkcyjny]]</f>
        <v>22340</v>
      </c>
      <c r="O18" s="19">
        <f>IF(OR(tblKadry[[#This Row],[Wynagrodzenie_zasadnicze]]="",tblKadry[[#This Row],[Etat]]=0),"",tblKadry[[#This Row],[Wynagrodzenie_zasadnicze]]/tblKadry[[#This Row],[Etat]])</f>
        <v>20840</v>
      </c>
      <c r="P18" s="21">
        <f>IF(AND(tblKadry[[#This Row],[Status]]="Aktywny",tblKadry[[#This Row],[Data_zatrudnienia]]&lt;=pDataRaportu),1,0)</f>
        <v>1</v>
      </c>
      <c r="Q18" s="20">
        <f>IF(tblKadry[[#This Row],[Data_zatrudnienia]]&gt;pDataRaportu,0,ROUND(YEARFRAC(tblKadry[[#This Row],[Data_zatrudnienia]],IF(tblKadry[[#This Row],[Data_zwolnienia]]="",pDataRaportu,tblKadry[[#This Row],[Data_zwolnienia]])),1))</f>
        <v>3.7</v>
      </c>
      <c r="R18" s="19">
        <f>tblKadry[[#This Row],[Brutto_mies]]*(1+pNarzut)</f>
        <v>27250.331999999999</v>
      </c>
      <c r="S18" s="19">
        <f>_xlfn.XLOOKUP(tblKadry[[#This Row],[Grupa]],tblWidelki[Grupa],tblWidelki[Środek],"")</f>
        <v>20500</v>
      </c>
      <c r="T18" s="18">
        <f>IF(tblKadry[[#This Row],[Stawka_pełny_etat]]="","",tblKadry[[#This Row],[Stawka_pełny_etat]]/tblKadry[[#This Row],[Środek_widełek]])</f>
        <v>1.0165853658536586</v>
      </c>
      <c r="U1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9" spans="1:22" x14ac:dyDescent="0.3">
      <c r="A19" s="1" t="s">
        <v>140</v>
      </c>
      <c r="B19" s="1" t="s">
        <v>39</v>
      </c>
      <c r="C19" s="1" t="s">
        <v>43</v>
      </c>
      <c r="D19" s="1" t="s">
        <v>78</v>
      </c>
      <c r="E19" s="1" t="s">
        <v>34</v>
      </c>
      <c r="F19" s="1" t="s">
        <v>60</v>
      </c>
      <c r="G19" s="17">
        <v>45862</v>
      </c>
      <c r="H19" s="1" t="s">
        <v>61</v>
      </c>
      <c r="I19" s="18">
        <v>0.75</v>
      </c>
      <c r="J19" s="19">
        <v>15548</v>
      </c>
      <c r="K19" s="19">
        <v>0</v>
      </c>
      <c r="L19" s="1" t="s">
        <v>62</v>
      </c>
      <c r="M19" s="17"/>
      <c r="N19" s="19">
        <f>tblKadry[[#This Row],[Wynagrodzenie_zasadnicze]]+tblKadry[[#This Row],[Dodatek_funkcyjny]]</f>
        <v>15548</v>
      </c>
      <c r="O19" s="19">
        <f>IF(OR(tblKadry[[#This Row],[Wynagrodzenie_zasadnicze]]="",tblKadry[[#This Row],[Etat]]=0),"",tblKadry[[#This Row],[Wynagrodzenie_zasadnicze]]/tblKadry[[#This Row],[Etat]])</f>
        <v>20730.666666666668</v>
      </c>
      <c r="P19" s="21">
        <f>IF(AND(tblKadry[[#This Row],[Status]]="Aktywny",tblKadry[[#This Row],[Data_zatrudnienia]]&lt;=pDataRaportu),1,0)</f>
        <v>1</v>
      </c>
      <c r="Q19" s="20">
        <f>IF(tblKadry[[#This Row],[Data_zatrudnienia]]&gt;pDataRaportu,0,ROUND(YEARFRAC(tblKadry[[#This Row],[Data_zatrudnienia]],IF(tblKadry[[#This Row],[Data_zwolnienia]]="",pDataRaportu,tblKadry[[#This Row],[Data_zwolnienia]])),1))</f>
        <v>1.2</v>
      </c>
      <c r="R19" s="19">
        <f>tblKadry[[#This Row],[Brutto_mies]]*(1+pNarzut)</f>
        <v>18965.450400000002</v>
      </c>
      <c r="S19" s="19">
        <f>_xlfn.XLOOKUP(tblKadry[[#This Row],[Grupa]],tblWidelki[Grupa],tblWidelki[Środek],"")</f>
        <v>20500</v>
      </c>
      <c r="T19" s="18">
        <f>IF(tblKadry[[#This Row],[Stawka_pełny_etat]]="","",tblKadry[[#This Row],[Stawka_pełny_etat]]/tblKadry[[#This Row],[Środek_widełek]])</f>
        <v>1.0112520325203254</v>
      </c>
      <c r="U1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0" spans="1:22" x14ac:dyDescent="0.3">
      <c r="A20" s="1" t="s">
        <v>257</v>
      </c>
      <c r="B20" s="1" t="s">
        <v>38</v>
      </c>
      <c r="C20" s="1" t="s">
        <v>44</v>
      </c>
      <c r="D20" s="1" t="s">
        <v>78</v>
      </c>
      <c r="E20" s="1" t="s">
        <v>34</v>
      </c>
      <c r="F20" s="1" t="s">
        <v>60</v>
      </c>
      <c r="G20" s="17">
        <v>43876</v>
      </c>
      <c r="H20" s="1" t="s">
        <v>61</v>
      </c>
      <c r="I20" s="18">
        <v>1</v>
      </c>
      <c r="J20" s="19">
        <v>20610</v>
      </c>
      <c r="K20" s="19">
        <v>0</v>
      </c>
      <c r="L20" s="1" t="s">
        <v>62</v>
      </c>
      <c r="M20" s="17"/>
      <c r="N20" s="19">
        <f>tblKadry[[#This Row],[Wynagrodzenie_zasadnicze]]+tblKadry[[#This Row],[Dodatek_funkcyjny]]</f>
        <v>20610</v>
      </c>
      <c r="O20" s="19">
        <f>IF(OR(tblKadry[[#This Row],[Wynagrodzenie_zasadnicze]]="",tblKadry[[#This Row],[Etat]]=0),"",tblKadry[[#This Row],[Wynagrodzenie_zasadnicze]]/tblKadry[[#This Row],[Etat]])</f>
        <v>20610</v>
      </c>
      <c r="P20" s="21">
        <f>IF(AND(tblKadry[[#This Row],[Status]]="Aktywny",tblKadry[[#This Row],[Data_zatrudnienia]]&lt;=pDataRaportu),1,0)</f>
        <v>1</v>
      </c>
      <c r="Q20" s="20">
        <f>IF(tblKadry[[#This Row],[Data_zatrudnienia]]&gt;pDataRaportu,0,ROUND(YEARFRAC(tblKadry[[#This Row],[Data_zatrudnienia]],IF(tblKadry[[#This Row],[Data_zwolnienia]]="",pDataRaportu,tblKadry[[#This Row],[Data_zwolnienia]])),1))</f>
        <v>6.6</v>
      </c>
      <c r="R20" s="19">
        <f>tblKadry[[#This Row],[Brutto_mies]]*(1+pNarzut)</f>
        <v>25140.078000000001</v>
      </c>
      <c r="S20" s="19">
        <f>_xlfn.XLOOKUP(tblKadry[[#This Row],[Grupa]],tblWidelki[Grupa],tblWidelki[Środek],"")</f>
        <v>20500</v>
      </c>
      <c r="T20" s="18">
        <f>IF(tblKadry[[#This Row],[Stawka_pełny_etat]]="","",tblKadry[[#This Row],[Stawka_pełny_etat]]/tblKadry[[#This Row],[Środek_widełek]])</f>
        <v>1.0053658536585366</v>
      </c>
      <c r="U2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1" spans="1:22" x14ac:dyDescent="0.3">
      <c r="A21" s="1" t="s">
        <v>121</v>
      </c>
      <c r="B21" s="1" t="s">
        <v>39</v>
      </c>
      <c r="C21" s="1" t="s">
        <v>43</v>
      </c>
      <c r="D21" s="1" t="s">
        <v>78</v>
      </c>
      <c r="E21" s="1" t="s">
        <v>34</v>
      </c>
      <c r="F21" s="1" t="s">
        <v>60</v>
      </c>
      <c r="G21" s="17">
        <v>45116</v>
      </c>
      <c r="H21" s="1" t="s">
        <v>61</v>
      </c>
      <c r="I21" s="18">
        <v>1</v>
      </c>
      <c r="J21" s="19">
        <v>20470</v>
      </c>
      <c r="K21" s="19">
        <v>0</v>
      </c>
      <c r="L21" s="1" t="s">
        <v>62</v>
      </c>
      <c r="M21" s="17"/>
      <c r="N21" s="19">
        <f>tblKadry[[#This Row],[Wynagrodzenie_zasadnicze]]+tblKadry[[#This Row],[Dodatek_funkcyjny]]</f>
        <v>20470</v>
      </c>
      <c r="O21" s="19">
        <f>IF(OR(tblKadry[[#This Row],[Wynagrodzenie_zasadnicze]]="",tblKadry[[#This Row],[Etat]]=0),"",tblKadry[[#This Row],[Wynagrodzenie_zasadnicze]]/tblKadry[[#This Row],[Etat]])</f>
        <v>20470</v>
      </c>
      <c r="P21" s="21">
        <f>IF(AND(tblKadry[[#This Row],[Status]]="Aktywny",tblKadry[[#This Row],[Data_zatrudnienia]]&lt;=pDataRaportu),1,0)</f>
        <v>1</v>
      </c>
      <c r="Q21" s="20">
        <f>IF(tblKadry[[#This Row],[Data_zatrudnienia]]&gt;pDataRaportu,0,ROUND(YEARFRAC(tblKadry[[#This Row],[Data_zatrudnienia]],IF(tblKadry[[#This Row],[Data_zwolnienia]]="",pDataRaportu,tblKadry[[#This Row],[Data_zwolnienia]])),1))</f>
        <v>3.2</v>
      </c>
      <c r="R21" s="19">
        <f>tblKadry[[#This Row],[Brutto_mies]]*(1+pNarzut)</f>
        <v>24969.306</v>
      </c>
      <c r="S21" s="19">
        <f>_xlfn.XLOOKUP(tblKadry[[#This Row],[Grupa]],tblWidelki[Grupa],tblWidelki[Środek],"")</f>
        <v>20500</v>
      </c>
      <c r="T21" s="18">
        <f>IF(tblKadry[[#This Row],[Stawka_pełny_etat]]="","",tblKadry[[#This Row],[Stawka_pełny_etat]]/tblKadry[[#This Row],[Środek_widełek]])</f>
        <v>0.99853658536585366</v>
      </c>
      <c r="U2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2" spans="1:22" x14ac:dyDescent="0.3">
      <c r="A22" s="1" t="s">
        <v>143</v>
      </c>
      <c r="B22" s="1" t="s">
        <v>38</v>
      </c>
      <c r="C22" s="1" t="s">
        <v>44</v>
      </c>
      <c r="D22" s="1" t="s">
        <v>78</v>
      </c>
      <c r="E22" s="1" t="s">
        <v>34</v>
      </c>
      <c r="F22" s="1" t="s">
        <v>67</v>
      </c>
      <c r="G22" s="17">
        <v>43359</v>
      </c>
      <c r="H22" s="1" t="s">
        <v>61</v>
      </c>
      <c r="I22" s="18">
        <v>1</v>
      </c>
      <c r="J22" s="19">
        <v>20430</v>
      </c>
      <c r="K22" s="19">
        <v>0</v>
      </c>
      <c r="L22" s="1" t="s">
        <v>62</v>
      </c>
      <c r="M22" s="17"/>
      <c r="N22" s="19">
        <f>tblKadry[[#This Row],[Wynagrodzenie_zasadnicze]]+tblKadry[[#This Row],[Dodatek_funkcyjny]]</f>
        <v>20430</v>
      </c>
      <c r="O22" s="19">
        <f>IF(OR(tblKadry[[#This Row],[Wynagrodzenie_zasadnicze]]="",tblKadry[[#This Row],[Etat]]=0),"",tblKadry[[#This Row],[Wynagrodzenie_zasadnicze]]/tblKadry[[#This Row],[Etat]])</f>
        <v>20430</v>
      </c>
      <c r="P22" s="21">
        <f>IF(AND(tblKadry[[#This Row],[Status]]="Aktywny",tblKadry[[#This Row],[Data_zatrudnienia]]&lt;=pDataRaportu),1,0)</f>
        <v>1</v>
      </c>
      <c r="Q22" s="20">
        <f>IF(tblKadry[[#This Row],[Data_zatrudnienia]]&gt;pDataRaportu,0,ROUND(YEARFRAC(tblKadry[[#This Row],[Data_zatrudnienia]],IF(tblKadry[[#This Row],[Data_zwolnienia]]="",pDataRaportu,tblKadry[[#This Row],[Data_zwolnienia]])),1))</f>
        <v>8</v>
      </c>
      <c r="R22" s="19">
        <f>tblKadry[[#This Row],[Brutto_mies]]*(1+pNarzut)</f>
        <v>24920.513999999999</v>
      </c>
      <c r="S22" s="19">
        <f>_xlfn.XLOOKUP(tblKadry[[#This Row],[Grupa]],tblWidelki[Grupa],tblWidelki[Środek],"")</f>
        <v>20500</v>
      </c>
      <c r="T22" s="18">
        <f>IF(tblKadry[[#This Row],[Stawka_pełny_etat]]="","",tblKadry[[#This Row],[Stawka_pełny_etat]]/tblKadry[[#This Row],[Środek_widełek]])</f>
        <v>0.99658536585365853</v>
      </c>
      <c r="U2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3" spans="1:22" x14ac:dyDescent="0.3">
      <c r="A23" s="1" t="s">
        <v>154</v>
      </c>
      <c r="B23" s="1" t="s">
        <v>38</v>
      </c>
      <c r="C23" s="1" t="s">
        <v>43</v>
      </c>
      <c r="D23" s="1" t="s">
        <v>78</v>
      </c>
      <c r="E23" s="1" t="s">
        <v>34</v>
      </c>
      <c r="F23" s="1" t="s">
        <v>67</v>
      </c>
      <c r="G23" s="17">
        <v>43051</v>
      </c>
      <c r="H23" s="1" t="s">
        <v>61</v>
      </c>
      <c r="I23" s="18">
        <v>1</v>
      </c>
      <c r="J23" s="19">
        <v>20370</v>
      </c>
      <c r="K23" s="19">
        <v>0</v>
      </c>
      <c r="L23" s="1" t="s">
        <v>62</v>
      </c>
      <c r="M23" s="17"/>
      <c r="N23" s="19">
        <f>tblKadry[[#This Row],[Wynagrodzenie_zasadnicze]]+tblKadry[[#This Row],[Dodatek_funkcyjny]]</f>
        <v>20370</v>
      </c>
      <c r="O23" s="19">
        <f>IF(OR(tblKadry[[#This Row],[Wynagrodzenie_zasadnicze]]="",tblKadry[[#This Row],[Etat]]=0),"",tblKadry[[#This Row],[Wynagrodzenie_zasadnicze]]/tblKadry[[#This Row],[Etat]])</f>
        <v>20370</v>
      </c>
      <c r="P23" s="21">
        <f>IF(AND(tblKadry[[#This Row],[Status]]="Aktywny",tblKadry[[#This Row],[Data_zatrudnienia]]&lt;=pDataRaportu),1,0)</f>
        <v>1</v>
      </c>
      <c r="Q23" s="20">
        <f>IF(tblKadry[[#This Row],[Data_zatrudnienia]]&gt;pDataRaportu,0,ROUND(YEARFRAC(tblKadry[[#This Row],[Data_zatrudnienia]],IF(tblKadry[[#This Row],[Data_zwolnienia]]="",pDataRaportu,tblKadry[[#This Row],[Data_zwolnienia]])),1))</f>
        <v>8.9</v>
      </c>
      <c r="R23" s="19">
        <f>tblKadry[[#This Row],[Brutto_mies]]*(1+pNarzut)</f>
        <v>24847.326000000001</v>
      </c>
      <c r="S23" s="19">
        <f>_xlfn.XLOOKUP(tblKadry[[#This Row],[Grupa]],tblWidelki[Grupa],tblWidelki[Środek],"")</f>
        <v>20500</v>
      </c>
      <c r="T23" s="18">
        <f>IF(tblKadry[[#This Row],[Stawka_pełny_etat]]="","",tblKadry[[#This Row],[Stawka_pełny_etat]]/tblKadry[[#This Row],[Środek_widełek]])</f>
        <v>0.99365853658536585</v>
      </c>
      <c r="U2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4" spans="1:22" x14ac:dyDescent="0.3">
      <c r="A24" s="1" t="s">
        <v>179</v>
      </c>
      <c r="B24" s="1" t="s">
        <v>39</v>
      </c>
      <c r="C24" s="1" t="s">
        <v>43</v>
      </c>
      <c r="D24" s="1" t="s">
        <v>70</v>
      </c>
      <c r="E24" s="1" t="s">
        <v>32</v>
      </c>
      <c r="F24" s="1" t="s">
        <v>60</v>
      </c>
      <c r="G24" s="17">
        <v>43985</v>
      </c>
      <c r="H24" s="1" t="s">
        <v>61</v>
      </c>
      <c r="I24" s="18">
        <v>1</v>
      </c>
      <c r="J24" s="19">
        <v>20170</v>
      </c>
      <c r="K24" s="19">
        <v>0</v>
      </c>
      <c r="L24" s="1" t="s">
        <v>62</v>
      </c>
      <c r="M24" s="17"/>
      <c r="N24" s="19">
        <f>tblKadry[[#This Row],[Wynagrodzenie_zasadnicze]]+tblKadry[[#This Row],[Dodatek_funkcyjny]]</f>
        <v>20170</v>
      </c>
      <c r="O24" s="19">
        <f>IF(OR(tblKadry[[#This Row],[Wynagrodzenie_zasadnicze]]="",tblKadry[[#This Row],[Etat]]=0),"",tblKadry[[#This Row],[Wynagrodzenie_zasadnicze]]/tblKadry[[#This Row],[Etat]])</f>
        <v>20170</v>
      </c>
      <c r="P24" s="21">
        <f>IF(AND(tblKadry[[#This Row],[Status]]="Aktywny",tblKadry[[#This Row],[Data_zatrudnienia]]&lt;=pDataRaportu),1,0)</f>
        <v>1</v>
      </c>
      <c r="Q24" s="20">
        <f>IF(tblKadry[[#This Row],[Data_zatrudnienia]]&gt;pDataRaportu,0,ROUND(YEARFRAC(tblKadry[[#This Row],[Data_zatrudnienia]],IF(tblKadry[[#This Row],[Data_zwolnienia]]="",pDataRaportu,tblKadry[[#This Row],[Data_zwolnienia]])),1))</f>
        <v>6.3</v>
      </c>
      <c r="R24" s="19">
        <f>tblKadry[[#This Row],[Brutto_mies]]*(1+pNarzut)</f>
        <v>24603.365999999998</v>
      </c>
      <c r="S24" s="19">
        <f>_xlfn.XLOOKUP(tblKadry[[#This Row],[Grupa]],tblWidelki[Grupa],tblWidelki[Środek],"")</f>
        <v>16000</v>
      </c>
      <c r="T24" s="18">
        <f>IF(tblKadry[[#This Row],[Stawka_pełny_etat]]="","",tblKadry[[#This Row],[Stawka_pełny_etat]]/tblKadry[[#This Row],[Środek_widełek]])</f>
        <v>1.2606250000000001</v>
      </c>
      <c r="U2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2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5" spans="1:22" x14ac:dyDescent="0.3">
      <c r="A25" s="1" t="s">
        <v>163</v>
      </c>
      <c r="B25" s="1" t="s">
        <v>38</v>
      </c>
      <c r="C25" s="1" t="s">
        <v>43</v>
      </c>
      <c r="D25" s="1" t="s">
        <v>78</v>
      </c>
      <c r="E25" s="1" t="s">
        <v>34</v>
      </c>
      <c r="F25" s="1" t="s">
        <v>67</v>
      </c>
      <c r="G25" s="17">
        <v>45347</v>
      </c>
      <c r="H25" s="1" t="s">
        <v>61</v>
      </c>
      <c r="I25" s="18">
        <v>0.5</v>
      </c>
      <c r="J25" s="19">
        <v>10025</v>
      </c>
      <c r="K25" s="19">
        <v>0</v>
      </c>
      <c r="L25" s="1" t="s">
        <v>62</v>
      </c>
      <c r="M25" s="17"/>
      <c r="N25" s="19">
        <f>tblKadry[[#This Row],[Wynagrodzenie_zasadnicze]]+tblKadry[[#This Row],[Dodatek_funkcyjny]]</f>
        <v>10025</v>
      </c>
      <c r="O25" s="19">
        <f>IF(OR(tblKadry[[#This Row],[Wynagrodzenie_zasadnicze]]="",tblKadry[[#This Row],[Etat]]=0),"",tblKadry[[#This Row],[Wynagrodzenie_zasadnicze]]/tblKadry[[#This Row],[Etat]])</f>
        <v>20050</v>
      </c>
      <c r="P25" s="21">
        <f>IF(AND(tblKadry[[#This Row],[Status]]="Aktywny",tblKadry[[#This Row],[Data_zatrudnienia]]&lt;=pDataRaportu),1,0)</f>
        <v>1</v>
      </c>
      <c r="Q25" s="20">
        <f>IF(tblKadry[[#This Row],[Data_zatrudnienia]]&gt;pDataRaportu,0,ROUND(YEARFRAC(tblKadry[[#This Row],[Data_zatrudnienia]],IF(tblKadry[[#This Row],[Data_zwolnienia]]="",pDataRaportu,tblKadry[[#This Row],[Data_zwolnienia]])),1))</f>
        <v>2.6</v>
      </c>
      <c r="R25" s="19">
        <f>tblKadry[[#This Row],[Brutto_mies]]*(1+pNarzut)</f>
        <v>12228.495000000001</v>
      </c>
      <c r="S25" s="19">
        <f>_xlfn.XLOOKUP(tblKadry[[#This Row],[Grupa]],tblWidelki[Grupa],tblWidelki[Środek],"")</f>
        <v>20500</v>
      </c>
      <c r="T25" s="18">
        <f>IF(tblKadry[[#This Row],[Stawka_pełny_etat]]="","",tblKadry[[#This Row],[Stawka_pełny_etat]]/tblKadry[[#This Row],[Środek_widełek]])</f>
        <v>0.97804878048780486</v>
      </c>
      <c r="U2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6" spans="1:22" x14ac:dyDescent="0.3">
      <c r="A26" s="1" t="s">
        <v>115</v>
      </c>
      <c r="B26" s="1" t="s">
        <v>38</v>
      </c>
      <c r="C26" s="1" t="s">
        <v>43</v>
      </c>
      <c r="D26" s="1" t="s">
        <v>116</v>
      </c>
      <c r="E26" s="1" t="s">
        <v>34</v>
      </c>
      <c r="F26" s="1" t="s">
        <v>60</v>
      </c>
      <c r="G26" s="17">
        <v>46100</v>
      </c>
      <c r="H26" s="1" t="s">
        <v>61</v>
      </c>
      <c r="I26" s="18">
        <v>1</v>
      </c>
      <c r="J26" s="19">
        <v>19980</v>
      </c>
      <c r="K26" s="19">
        <v>1500</v>
      </c>
      <c r="L26" s="1" t="s">
        <v>62</v>
      </c>
      <c r="M26" s="17"/>
      <c r="N26" s="19">
        <f>tblKadry[[#This Row],[Wynagrodzenie_zasadnicze]]+tblKadry[[#This Row],[Dodatek_funkcyjny]]</f>
        <v>21480</v>
      </c>
      <c r="O26" s="19">
        <f>IF(OR(tblKadry[[#This Row],[Wynagrodzenie_zasadnicze]]="",tblKadry[[#This Row],[Etat]]=0),"",tblKadry[[#This Row],[Wynagrodzenie_zasadnicze]]/tblKadry[[#This Row],[Etat]])</f>
        <v>19980</v>
      </c>
      <c r="P26" s="21">
        <f>IF(AND(tblKadry[[#This Row],[Status]]="Aktywny",tblKadry[[#This Row],[Data_zatrudnienia]]&lt;=pDataRaportu),1,0)</f>
        <v>1</v>
      </c>
      <c r="Q26" s="20">
        <f>IF(tblKadry[[#This Row],[Data_zatrudnienia]]&gt;pDataRaportu,0,ROUND(YEARFRAC(tblKadry[[#This Row],[Data_zatrudnienia]],IF(tblKadry[[#This Row],[Data_zwolnienia]]="",pDataRaportu,tblKadry[[#This Row],[Data_zwolnienia]])),1))</f>
        <v>0.5</v>
      </c>
      <c r="R26" s="19">
        <f>tblKadry[[#This Row],[Brutto_mies]]*(1+pNarzut)</f>
        <v>26201.304</v>
      </c>
      <c r="S26" s="19">
        <f>_xlfn.XLOOKUP(tblKadry[[#This Row],[Grupa]],tblWidelki[Grupa],tblWidelki[Środek],"")</f>
        <v>20500</v>
      </c>
      <c r="T26" s="18">
        <f>IF(tblKadry[[#This Row],[Stawka_pełny_etat]]="","",tblKadry[[#This Row],[Stawka_pełny_etat]]/tblKadry[[#This Row],[Środek_widełek]])</f>
        <v>0.97463414634146339</v>
      </c>
      <c r="U2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7" spans="1:22" x14ac:dyDescent="0.3">
      <c r="A27" s="1" t="s">
        <v>182</v>
      </c>
      <c r="B27" s="1" t="s">
        <v>41</v>
      </c>
      <c r="C27" s="1" t="s">
        <v>43</v>
      </c>
      <c r="D27" s="1" t="s">
        <v>78</v>
      </c>
      <c r="E27" s="1" t="s">
        <v>34</v>
      </c>
      <c r="F27" s="1" t="s">
        <v>60</v>
      </c>
      <c r="G27" s="17">
        <v>45526</v>
      </c>
      <c r="H27" s="1" t="s">
        <v>61</v>
      </c>
      <c r="I27" s="18">
        <v>1</v>
      </c>
      <c r="J27" s="19">
        <v>19980</v>
      </c>
      <c r="K27" s="19">
        <v>0</v>
      </c>
      <c r="L27" s="1" t="s">
        <v>62</v>
      </c>
      <c r="M27" s="17"/>
      <c r="N27" s="19">
        <f>tblKadry[[#This Row],[Wynagrodzenie_zasadnicze]]+tblKadry[[#This Row],[Dodatek_funkcyjny]]</f>
        <v>19980</v>
      </c>
      <c r="O27" s="19">
        <f>IF(OR(tblKadry[[#This Row],[Wynagrodzenie_zasadnicze]]="",tblKadry[[#This Row],[Etat]]=0),"",tblKadry[[#This Row],[Wynagrodzenie_zasadnicze]]/tblKadry[[#This Row],[Etat]])</f>
        <v>19980</v>
      </c>
      <c r="P27" s="21">
        <f>IF(AND(tblKadry[[#This Row],[Status]]="Aktywny",tblKadry[[#This Row],[Data_zatrudnienia]]&lt;=pDataRaportu),1,0)</f>
        <v>1</v>
      </c>
      <c r="Q27" s="20">
        <f>IF(tblKadry[[#This Row],[Data_zatrudnienia]]&gt;pDataRaportu,0,ROUND(YEARFRAC(tblKadry[[#This Row],[Data_zatrudnienia]],IF(tblKadry[[#This Row],[Data_zwolnienia]]="",pDataRaportu,tblKadry[[#This Row],[Data_zwolnienia]])),1))</f>
        <v>2.1</v>
      </c>
      <c r="R27" s="19">
        <f>tblKadry[[#This Row],[Brutto_mies]]*(1+pNarzut)</f>
        <v>24371.603999999999</v>
      </c>
      <c r="S27" s="19">
        <f>_xlfn.XLOOKUP(tblKadry[[#This Row],[Grupa]],tblWidelki[Grupa],tblWidelki[Środek],"")</f>
        <v>20500</v>
      </c>
      <c r="T27" s="18">
        <f>IF(tblKadry[[#This Row],[Stawka_pełny_etat]]="","",tblKadry[[#This Row],[Stawka_pełny_etat]]/tblKadry[[#This Row],[Środek_widełek]])</f>
        <v>0.97463414634146339</v>
      </c>
      <c r="U2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8" spans="1:22" x14ac:dyDescent="0.3">
      <c r="A28" s="1" t="s">
        <v>104</v>
      </c>
      <c r="B28" s="1" t="s">
        <v>38</v>
      </c>
      <c r="C28" s="1" t="s">
        <v>44</v>
      </c>
      <c r="D28" s="1" t="s">
        <v>70</v>
      </c>
      <c r="E28" s="1" t="s">
        <v>32</v>
      </c>
      <c r="F28" s="1" t="s">
        <v>67</v>
      </c>
      <c r="G28" s="17">
        <v>44937</v>
      </c>
      <c r="H28" s="1" t="s">
        <v>61</v>
      </c>
      <c r="I28" s="18">
        <v>1</v>
      </c>
      <c r="J28" s="19">
        <v>19880</v>
      </c>
      <c r="K28" s="19">
        <v>0</v>
      </c>
      <c r="L28" s="1" t="s">
        <v>62</v>
      </c>
      <c r="M28" s="17"/>
      <c r="N28" s="19">
        <f>tblKadry[[#This Row],[Wynagrodzenie_zasadnicze]]+tblKadry[[#This Row],[Dodatek_funkcyjny]]</f>
        <v>19880</v>
      </c>
      <c r="O28" s="19">
        <f>IF(OR(tblKadry[[#This Row],[Wynagrodzenie_zasadnicze]]="",tblKadry[[#This Row],[Etat]]=0),"",tblKadry[[#This Row],[Wynagrodzenie_zasadnicze]]/tblKadry[[#This Row],[Etat]])</f>
        <v>19880</v>
      </c>
      <c r="P28" s="21">
        <f>IF(AND(tblKadry[[#This Row],[Status]]="Aktywny",tblKadry[[#This Row],[Data_zatrudnienia]]&lt;=pDataRaportu),1,0)</f>
        <v>1</v>
      </c>
      <c r="Q28" s="20">
        <f>IF(tblKadry[[#This Row],[Data_zatrudnienia]]&gt;pDataRaportu,0,ROUND(YEARFRAC(tblKadry[[#This Row],[Data_zatrudnienia]],IF(tblKadry[[#This Row],[Data_zwolnienia]]="",pDataRaportu,tblKadry[[#This Row],[Data_zwolnienia]])),1))</f>
        <v>3.7</v>
      </c>
      <c r="R28" s="19">
        <f>tblKadry[[#This Row],[Brutto_mies]]*(1+pNarzut)</f>
        <v>24249.624</v>
      </c>
      <c r="S28" s="19">
        <f>_xlfn.XLOOKUP(tblKadry[[#This Row],[Grupa]],tblWidelki[Grupa],tblWidelki[Środek],"")</f>
        <v>16000</v>
      </c>
      <c r="T28" s="18">
        <f>IF(tblKadry[[#This Row],[Stawka_pełny_etat]]="","",tblKadry[[#This Row],[Stawka_pełny_etat]]/tblKadry[[#This Row],[Środek_widełek]])</f>
        <v>1.2424999999999999</v>
      </c>
      <c r="U2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2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29" spans="1:22" x14ac:dyDescent="0.3">
      <c r="A29" s="1" t="s">
        <v>187</v>
      </c>
      <c r="B29" s="1" t="s">
        <v>39</v>
      </c>
      <c r="C29" s="1" t="s">
        <v>44</v>
      </c>
      <c r="D29" s="1" t="s">
        <v>78</v>
      </c>
      <c r="E29" s="1" t="s">
        <v>34</v>
      </c>
      <c r="F29" s="1" t="s">
        <v>60</v>
      </c>
      <c r="G29" s="17">
        <v>44418</v>
      </c>
      <c r="H29" s="1" t="s">
        <v>61</v>
      </c>
      <c r="I29" s="18">
        <v>1</v>
      </c>
      <c r="J29" s="19">
        <v>19830</v>
      </c>
      <c r="K29" s="19">
        <v>0</v>
      </c>
      <c r="L29" s="1" t="s">
        <v>83</v>
      </c>
      <c r="M29" s="17">
        <v>46170</v>
      </c>
      <c r="N29" s="19">
        <f>tblKadry[[#This Row],[Wynagrodzenie_zasadnicze]]+tblKadry[[#This Row],[Dodatek_funkcyjny]]</f>
        <v>19830</v>
      </c>
      <c r="O29" s="19">
        <f>IF(OR(tblKadry[[#This Row],[Wynagrodzenie_zasadnicze]]="",tblKadry[[#This Row],[Etat]]=0),"",tblKadry[[#This Row],[Wynagrodzenie_zasadnicze]]/tblKadry[[#This Row],[Etat]])</f>
        <v>19830</v>
      </c>
      <c r="P29" s="21">
        <f>IF(AND(tblKadry[[#This Row],[Status]]="Aktywny",tblKadry[[#This Row],[Data_zatrudnienia]]&lt;=pDataRaportu),1,0)</f>
        <v>0</v>
      </c>
      <c r="Q29" s="20">
        <f>IF(tblKadry[[#This Row],[Data_zatrudnienia]]&gt;pDataRaportu,0,ROUND(YEARFRAC(tblKadry[[#This Row],[Data_zatrudnienia]],IF(tblKadry[[#This Row],[Data_zwolnienia]]="",pDataRaportu,tblKadry[[#This Row],[Data_zwolnienia]])),1))</f>
        <v>4.8</v>
      </c>
      <c r="R29" s="19">
        <f>tblKadry[[#This Row],[Brutto_mies]]*(1+pNarzut)</f>
        <v>24188.633999999998</v>
      </c>
      <c r="S29" s="19">
        <f>_xlfn.XLOOKUP(tblKadry[[#This Row],[Grupa]],tblWidelki[Grupa],tblWidelki[Środek],"")</f>
        <v>20500</v>
      </c>
      <c r="T29" s="18">
        <f>IF(tblKadry[[#This Row],[Stawka_pełny_etat]]="","",tblKadry[[#This Row],[Stawka_pełny_etat]]/tblKadry[[#This Row],[Środek_widełek]])</f>
        <v>0.96731707317073168</v>
      </c>
      <c r="U2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2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0" spans="1:22" x14ac:dyDescent="0.3">
      <c r="A30" s="1" t="s">
        <v>197</v>
      </c>
      <c r="B30" s="1" t="s">
        <v>38</v>
      </c>
      <c r="C30" s="1" t="s">
        <v>44</v>
      </c>
      <c r="D30" s="1" t="s">
        <v>78</v>
      </c>
      <c r="E30" s="1" t="s">
        <v>34</v>
      </c>
      <c r="F30" s="1" t="s">
        <v>60</v>
      </c>
      <c r="G30" s="17">
        <v>46061</v>
      </c>
      <c r="H30" s="1" t="s">
        <v>71</v>
      </c>
      <c r="I30" s="18">
        <v>1</v>
      </c>
      <c r="J30" s="19">
        <v>19770</v>
      </c>
      <c r="K30" s="19">
        <v>0</v>
      </c>
      <c r="L30" s="1" t="s">
        <v>62</v>
      </c>
      <c r="M30" s="17"/>
      <c r="N30" s="19">
        <f>tblKadry[[#This Row],[Wynagrodzenie_zasadnicze]]+tblKadry[[#This Row],[Dodatek_funkcyjny]]</f>
        <v>19770</v>
      </c>
      <c r="O30" s="19">
        <f>IF(OR(tblKadry[[#This Row],[Wynagrodzenie_zasadnicze]]="",tblKadry[[#This Row],[Etat]]=0),"",tblKadry[[#This Row],[Wynagrodzenie_zasadnicze]]/tblKadry[[#This Row],[Etat]])</f>
        <v>19770</v>
      </c>
      <c r="P30" s="21">
        <f>IF(AND(tblKadry[[#This Row],[Status]]="Aktywny",tblKadry[[#This Row],[Data_zatrudnienia]]&lt;=pDataRaportu),1,0)</f>
        <v>1</v>
      </c>
      <c r="Q30" s="20">
        <f>IF(tblKadry[[#This Row],[Data_zatrudnienia]]&gt;pDataRaportu,0,ROUND(YEARFRAC(tblKadry[[#This Row],[Data_zatrudnienia]],IF(tblKadry[[#This Row],[Data_zwolnienia]]="",pDataRaportu,tblKadry[[#This Row],[Data_zwolnienia]])),1))</f>
        <v>0.6</v>
      </c>
      <c r="R30" s="19">
        <f>tblKadry[[#This Row],[Brutto_mies]]*(1+pNarzut)</f>
        <v>24115.446</v>
      </c>
      <c r="S30" s="19">
        <f>_xlfn.XLOOKUP(tblKadry[[#This Row],[Grupa]],tblWidelki[Grupa],tblWidelki[Środek],"")</f>
        <v>20500</v>
      </c>
      <c r="T30" s="18">
        <f>IF(tblKadry[[#This Row],[Stawka_pełny_etat]]="","",tblKadry[[#This Row],[Stawka_pełny_etat]]/tblKadry[[#This Row],[Środek_widełek]])</f>
        <v>0.96439024390243899</v>
      </c>
      <c r="U3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Okres próbny &gt; 3 mies. (art. 25 KP)</v>
      </c>
    </row>
    <row r="31" spans="1:22" x14ac:dyDescent="0.3">
      <c r="A31" s="1" t="s">
        <v>180</v>
      </c>
      <c r="B31" s="1" t="s">
        <v>40</v>
      </c>
      <c r="C31" s="1" t="s">
        <v>43</v>
      </c>
      <c r="D31" s="1" t="s">
        <v>116</v>
      </c>
      <c r="E31" s="1" t="s">
        <v>34</v>
      </c>
      <c r="F31" s="1" t="s">
        <v>67</v>
      </c>
      <c r="G31" s="17">
        <v>44154</v>
      </c>
      <c r="H31" s="1" t="s">
        <v>61</v>
      </c>
      <c r="I31" s="18">
        <v>1</v>
      </c>
      <c r="J31" s="19">
        <v>19730</v>
      </c>
      <c r="K31" s="19">
        <v>1000</v>
      </c>
      <c r="L31" s="1" t="s">
        <v>62</v>
      </c>
      <c r="M31" s="17"/>
      <c r="N31" s="19">
        <f>tblKadry[[#This Row],[Wynagrodzenie_zasadnicze]]+tblKadry[[#This Row],[Dodatek_funkcyjny]]</f>
        <v>20730</v>
      </c>
      <c r="O31" s="19">
        <f>IF(OR(tblKadry[[#This Row],[Wynagrodzenie_zasadnicze]]="",tblKadry[[#This Row],[Etat]]=0),"",tblKadry[[#This Row],[Wynagrodzenie_zasadnicze]]/tblKadry[[#This Row],[Etat]])</f>
        <v>19730</v>
      </c>
      <c r="P31" s="21">
        <f>IF(AND(tblKadry[[#This Row],[Status]]="Aktywny",tblKadry[[#This Row],[Data_zatrudnienia]]&lt;=pDataRaportu),1,0)</f>
        <v>1</v>
      </c>
      <c r="Q31" s="20">
        <f>IF(tblKadry[[#This Row],[Data_zatrudnienia]]&gt;pDataRaportu,0,ROUND(YEARFRAC(tblKadry[[#This Row],[Data_zatrudnienia]],IF(tblKadry[[#This Row],[Data_zwolnienia]]="",pDataRaportu,tblKadry[[#This Row],[Data_zwolnienia]])),1))</f>
        <v>5.9</v>
      </c>
      <c r="R31" s="19">
        <f>tblKadry[[#This Row],[Brutto_mies]]*(1+pNarzut)</f>
        <v>25286.454000000002</v>
      </c>
      <c r="S31" s="19">
        <f>_xlfn.XLOOKUP(tblKadry[[#This Row],[Grupa]],tblWidelki[Grupa],tblWidelki[Środek],"")</f>
        <v>20500</v>
      </c>
      <c r="T31" s="18">
        <f>IF(tblKadry[[#This Row],[Stawka_pełny_etat]]="","",tblKadry[[#This Row],[Stawka_pełny_etat]]/tblKadry[[#This Row],[Środek_widełek]])</f>
        <v>0.96243902439024387</v>
      </c>
      <c r="U3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2" spans="1:22" x14ac:dyDescent="0.3">
      <c r="A32" s="1" t="s">
        <v>107</v>
      </c>
      <c r="B32" s="1" t="s">
        <v>41</v>
      </c>
      <c r="C32" s="1" t="s">
        <v>43</v>
      </c>
      <c r="D32" s="1" t="s">
        <v>78</v>
      </c>
      <c r="E32" s="1" t="s">
        <v>34</v>
      </c>
      <c r="F32" s="1" t="s">
        <v>67</v>
      </c>
      <c r="G32" s="17">
        <v>44170</v>
      </c>
      <c r="H32" s="1" t="s">
        <v>61</v>
      </c>
      <c r="I32" s="18">
        <v>1</v>
      </c>
      <c r="J32" s="19">
        <v>19240</v>
      </c>
      <c r="K32" s="19">
        <v>0</v>
      </c>
      <c r="L32" s="1" t="s">
        <v>62</v>
      </c>
      <c r="M32" s="17"/>
      <c r="N32" s="19">
        <f>tblKadry[[#This Row],[Wynagrodzenie_zasadnicze]]+tblKadry[[#This Row],[Dodatek_funkcyjny]]</f>
        <v>19240</v>
      </c>
      <c r="O32" s="19">
        <f>IF(OR(tblKadry[[#This Row],[Wynagrodzenie_zasadnicze]]="",tblKadry[[#This Row],[Etat]]=0),"",tblKadry[[#This Row],[Wynagrodzenie_zasadnicze]]/tblKadry[[#This Row],[Etat]])</f>
        <v>19240</v>
      </c>
      <c r="P32" s="21">
        <f>IF(AND(tblKadry[[#This Row],[Status]]="Aktywny",tblKadry[[#This Row],[Data_zatrudnienia]]&lt;=pDataRaportu),1,0)</f>
        <v>1</v>
      </c>
      <c r="Q32" s="20">
        <f>IF(tblKadry[[#This Row],[Data_zatrudnienia]]&gt;pDataRaportu,0,ROUND(YEARFRAC(tblKadry[[#This Row],[Data_zatrudnienia]],IF(tblKadry[[#This Row],[Data_zwolnienia]]="",pDataRaportu,tblKadry[[#This Row],[Data_zwolnienia]])),1))</f>
        <v>5.8</v>
      </c>
      <c r="R32" s="19">
        <f>tblKadry[[#This Row],[Brutto_mies]]*(1+pNarzut)</f>
        <v>23468.952000000001</v>
      </c>
      <c r="S32" s="19">
        <f>_xlfn.XLOOKUP(tblKadry[[#This Row],[Grupa]],tblWidelki[Grupa],tblWidelki[Środek],"")</f>
        <v>20500</v>
      </c>
      <c r="T32" s="18">
        <f>IF(tblKadry[[#This Row],[Stawka_pełny_etat]]="","",tblKadry[[#This Row],[Stawka_pełny_etat]]/tblKadry[[#This Row],[Środek_widełek]])</f>
        <v>0.9385365853658536</v>
      </c>
      <c r="U3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3" spans="1:22" x14ac:dyDescent="0.3">
      <c r="A33" s="1" t="s">
        <v>202</v>
      </c>
      <c r="B33" s="1" t="s">
        <v>38</v>
      </c>
      <c r="C33" s="1" t="s">
        <v>45</v>
      </c>
      <c r="D33" s="1" t="s">
        <v>78</v>
      </c>
      <c r="E33" s="1" t="s">
        <v>34</v>
      </c>
      <c r="F33" s="1" t="s">
        <v>60</v>
      </c>
      <c r="G33" s="17">
        <v>44827</v>
      </c>
      <c r="H33" s="1" t="s">
        <v>61</v>
      </c>
      <c r="I33" s="18">
        <v>1</v>
      </c>
      <c r="J33" s="19">
        <v>19180</v>
      </c>
      <c r="K33" s="19">
        <v>0</v>
      </c>
      <c r="L33" s="1" t="s">
        <v>62</v>
      </c>
      <c r="M33" s="17"/>
      <c r="N33" s="19">
        <f>tblKadry[[#This Row],[Wynagrodzenie_zasadnicze]]+tblKadry[[#This Row],[Dodatek_funkcyjny]]</f>
        <v>19180</v>
      </c>
      <c r="O33" s="19">
        <f>IF(OR(tblKadry[[#This Row],[Wynagrodzenie_zasadnicze]]="",tblKadry[[#This Row],[Etat]]=0),"",tblKadry[[#This Row],[Wynagrodzenie_zasadnicze]]/tblKadry[[#This Row],[Etat]])</f>
        <v>19180</v>
      </c>
      <c r="P33" s="21">
        <f>IF(AND(tblKadry[[#This Row],[Status]]="Aktywny",tblKadry[[#This Row],[Data_zatrudnienia]]&lt;=pDataRaportu),1,0)</f>
        <v>1</v>
      </c>
      <c r="Q33" s="20">
        <f>IF(tblKadry[[#This Row],[Data_zatrudnienia]]&gt;pDataRaportu,0,ROUND(YEARFRAC(tblKadry[[#This Row],[Data_zatrudnienia]],IF(tblKadry[[#This Row],[Data_zwolnienia]]="",pDataRaportu,tblKadry[[#This Row],[Data_zwolnienia]])),1))</f>
        <v>4</v>
      </c>
      <c r="R33" s="19">
        <f>tblKadry[[#This Row],[Brutto_mies]]*(1+pNarzut)</f>
        <v>23395.763999999999</v>
      </c>
      <c r="S33" s="19">
        <f>_xlfn.XLOOKUP(tblKadry[[#This Row],[Grupa]],tblWidelki[Grupa],tblWidelki[Środek],"")</f>
        <v>20500</v>
      </c>
      <c r="T33" s="18">
        <f>IF(tblKadry[[#This Row],[Stawka_pełny_etat]]="","",tblKadry[[#This Row],[Stawka_pełny_etat]]/tblKadry[[#This Row],[Środek_widełek]])</f>
        <v>0.93560975609756103</v>
      </c>
      <c r="U3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4" spans="1:22" x14ac:dyDescent="0.3">
      <c r="A34" s="1" t="s">
        <v>160</v>
      </c>
      <c r="B34" s="1" t="s">
        <v>40</v>
      </c>
      <c r="C34" s="1" t="s">
        <v>43</v>
      </c>
      <c r="D34" s="1" t="s">
        <v>78</v>
      </c>
      <c r="E34" s="1" t="s">
        <v>34</v>
      </c>
      <c r="F34" s="1" t="s">
        <v>60</v>
      </c>
      <c r="G34" s="17">
        <v>46106</v>
      </c>
      <c r="H34" s="1" t="s">
        <v>61</v>
      </c>
      <c r="I34" s="18">
        <v>1</v>
      </c>
      <c r="J34" s="19">
        <v>18680</v>
      </c>
      <c r="K34" s="19">
        <v>0</v>
      </c>
      <c r="L34" s="1" t="s">
        <v>62</v>
      </c>
      <c r="M34" s="17"/>
      <c r="N34" s="19">
        <f>tblKadry[[#This Row],[Wynagrodzenie_zasadnicze]]+tblKadry[[#This Row],[Dodatek_funkcyjny]]</f>
        <v>18680</v>
      </c>
      <c r="O34" s="19">
        <f>IF(OR(tblKadry[[#This Row],[Wynagrodzenie_zasadnicze]]="",tblKadry[[#This Row],[Etat]]=0),"",tblKadry[[#This Row],[Wynagrodzenie_zasadnicze]]/tblKadry[[#This Row],[Etat]])</f>
        <v>18680</v>
      </c>
      <c r="P34" s="21">
        <f>IF(AND(tblKadry[[#This Row],[Status]]="Aktywny",tblKadry[[#This Row],[Data_zatrudnienia]]&lt;=pDataRaportu),1,0)</f>
        <v>1</v>
      </c>
      <c r="Q34" s="20">
        <f>IF(tblKadry[[#This Row],[Data_zatrudnienia]]&gt;pDataRaportu,0,ROUND(YEARFRAC(tblKadry[[#This Row],[Data_zatrudnienia]],IF(tblKadry[[#This Row],[Data_zwolnienia]]="",pDataRaportu,tblKadry[[#This Row],[Data_zwolnienia]])),1))</f>
        <v>0.5</v>
      </c>
      <c r="R34" s="19">
        <f>tblKadry[[#This Row],[Brutto_mies]]*(1+pNarzut)</f>
        <v>22785.864000000001</v>
      </c>
      <c r="S34" s="19">
        <f>_xlfn.XLOOKUP(tblKadry[[#This Row],[Grupa]],tblWidelki[Grupa],tblWidelki[Środek],"")</f>
        <v>20500</v>
      </c>
      <c r="T34" s="18">
        <f>IF(tblKadry[[#This Row],[Stawka_pełny_etat]]="","",tblKadry[[#This Row],[Stawka_pełny_etat]]/tblKadry[[#This Row],[Środek_widełek]])</f>
        <v>0.91121951219512198</v>
      </c>
      <c r="U3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5" spans="1:22" x14ac:dyDescent="0.3">
      <c r="A35" s="1" t="s">
        <v>113</v>
      </c>
      <c r="B35" s="1" t="s">
        <v>41</v>
      </c>
      <c r="C35" s="1" t="s">
        <v>44</v>
      </c>
      <c r="D35" s="1" t="s">
        <v>78</v>
      </c>
      <c r="E35" s="1" t="s">
        <v>34</v>
      </c>
      <c r="F35" s="1" t="s">
        <v>60</v>
      </c>
      <c r="G35" s="17">
        <v>46231</v>
      </c>
      <c r="H35" s="1" t="s">
        <v>61</v>
      </c>
      <c r="I35" s="18">
        <v>1</v>
      </c>
      <c r="J35" s="19">
        <v>18580</v>
      </c>
      <c r="K35" s="19">
        <v>0</v>
      </c>
      <c r="L35" s="1" t="s">
        <v>62</v>
      </c>
      <c r="M35" s="17"/>
      <c r="N35" s="19">
        <f>tblKadry[[#This Row],[Wynagrodzenie_zasadnicze]]+tblKadry[[#This Row],[Dodatek_funkcyjny]]</f>
        <v>18580</v>
      </c>
      <c r="O35" s="19">
        <f>IF(OR(tblKadry[[#This Row],[Wynagrodzenie_zasadnicze]]="",tblKadry[[#This Row],[Etat]]=0),"",tblKadry[[#This Row],[Wynagrodzenie_zasadnicze]]/tblKadry[[#This Row],[Etat]])</f>
        <v>18580</v>
      </c>
      <c r="P35" s="21">
        <f>IF(AND(tblKadry[[#This Row],[Status]]="Aktywny",tblKadry[[#This Row],[Data_zatrudnienia]]&lt;=pDataRaportu),1,0)</f>
        <v>1</v>
      </c>
      <c r="Q35" s="20">
        <f>IF(tblKadry[[#This Row],[Data_zatrudnienia]]&gt;pDataRaportu,0,ROUND(YEARFRAC(tblKadry[[#This Row],[Data_zatrudnienia]],IF(tblKadry[[#This Row],[Data_zwolnienia]]="",pDataRaportu,tblKadry[[#This Row],[Data_zwolnienia]])),1))</f>
        <v>0.2</v>
      </c>
      <c r="R35" s="19">
        <f>tblKadry[[#This Row],[Brutto_mies]]*(1+pNarzut)</f>
        <v>22663.883999999998</v>
      </c>
      <c r="S35" s="19">
        <f>_xlfn.XLOOKUP(tblKadry[[#This Row],[Grupa]],tblWidelki[Grupa],tblWidelki[Środek],"")</f>
        <v>20500</v>
      </c>
      <c r="T35" s="18">
        <f>IF(tblKadry[[#This Row],[Stawka_pełny_etat]]="","",tblKadry[[#This Row],[Stawka_pełny_etat]]/tblKadry[[#This Row],[Środek_widełek]])</f>
        <v>0.90634146341463417</v>
      </c>
      <c r="U3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6" spans="1:22" x14ac:dyDescent="0.3">
      <c r="A36" s="1" t="s">
        <v>153</v>
      </c>
      <c r="B36" s="1" t="s">
        <v>39</v>
      </c>
      <c r="C36" s="1" t="s">
        <v>44</v>
      </c>
      <c r="D36" s="1" t="s">
        <v>70</v>
      </c>
      <c r="E36" s="1" t="s">
        <v>32</v>
      </c>
      <c r="F36" s="1" t="s">
        <v>60</v>
      </c>
      <c r="G36" s="17">
        <v>41916</v>
      </c>
      <c r="H36" s="1" t="s">
        <v>61</v>
      </c>
      <c r="I36" s="18">
        <v>1</v>
      </c>
      <c r="J36" s="19">
        <v>18230</v>
      </c>
      <c r="K36" s="19">
        <v>0</v>
      </c>
      <c r="L36" s="1" t="s">
        <v>62</v>
      </c>
      <c r="M36" s="17"/>
      <c r="N36" s="19">
        <f>tblKadry[[#This Row],[Wynagrodzenie_zasadnicze]]+tblKadry[[#This Row],[Dodatek_funkcyjny]]</f>
        <v>18230</v>
      </c>
      <c r="O36" s="19">
        <f>IF(OR(tblKadry[[#This Row],[Wynagrodzenie_zasadnicze]]="",tblKadry[[#This Row],[Etat]]=0),"",tblKadry[[#This Row],[Wynagrodzenie_zasadnicze]]/tblKadry[[#This Row],[Etat]])</f>
        <v>18230</v>
      </c>
      <c r="P36" s="21">
        <f>IF(AND(tblKadry[[#This Row],[Status]]="Aktywny",tblKadry[[#This Row],[Data_zatrudnienia]]&lt;=pDataRaportu),1,0)</f>
        <v>1</v>
      </c>
      <c r="Q36" s="20">
        <f>IF(tblKadry[[#This Row],[Data_zatrudnienia]]&gt;pDataRaportu,0,ROUND(YEARFRAC(tblKadry[[#This Row],[Data_zatrudnienia]],IF(tblKadry[[#This Row],[Data_zwolnienia]]="",pDataRaportu,tblKadry[[#This Row],[Data_zwolnienia]])),1))</f>
        <v>12</v>
      </c>
      <c r="R36" s="19">
        <f>tblKadry[[#This Row],[Brutto_mies]]*(1+pNarzut)</f>
        <v>22236.954000000002</v>
      </c>
      <c r="S36" s="19">
        <f>_xlfn.XLOOKUP(tblKadry[[#This Row],[Grupa]],tblWidelki[Grupa],tblWidelki[Środek],"")</f>
        <v>16000</v>
      </c>
      <c r="T36" s="18">
        <f>IF(tblKadry[[#This Row],[Stawka_pełny_etat]]="","",tblKadry[[#This Row],[Stawka_pełny_etat]]/tblKadry[[#This Row],[Środek_widełek]])</f>
        <v>1.139375</v>
      </c>
      <c r="U3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7" spans="1:22" x14ac:dyDescent="0.3">
      <c r="A37" s="1" t="s">
        <v>175</v>
      </c>
      <c r="B37" s="1" t="s">
        <v>39</v>
      </c>
      <c r="C37" s="1" t="s">
        <v>43</v>
      </c>
      <c r="D37" s="1" t="s">
        <v>116</v>
      </c>
      <c r="E37" s="1" t="s">
        <v>34</v>
      </c>
      <c r="F37" s="1" t="s">
        <v>67</v>
      </c>
      <c r="G37" s="17">
        <v>46071</v>
      </c>
      <c r="H37" s="1" t="s">
        <v>68</v>
      </c>
      <c r="I37" s="18">
        <v>1</v>
      </c>
      <c r="J37" s="19">
        <v>17970</v>
      </c>
      <c r="K37" s="19">
        <v>1000</v>
      </c>
      <c r="L37" s="1" t="s">
        <v>83</v>
      </c>
      <c r="M37" s="17">
        <v>46201</v>
      </c>
      <c r="N37" s="19">
        <f>tblKadry[[#This Row],[Wynagrodzenie_zasadnicze]]+tblKadry[[#This Row],[Dodatek_funkcyjny]]</f>
        <v>18970</v>
      </c>
      <c r="O37" s="19">
        <f>IF(OR(tblKadry[[#This Row],[Wynagrodzenie_zasadnicze]]="",tblKadry[[#This Row],[Etat]]=0),"",tblKadry[[#This Row],[Wynagrodzenie_zasadnicze]]/tblKadry[[#This Row],[Etat]])</f>
        <v>17970</v>
      </c>
      <c r="P37" s="21">
        <f>IF(AND(tblKadry[[#This Row],[Status]]="Aktywny",tblKadry[[#This Row],[Data_zatrudnienia]]&lt;=pDataRaportu),1,0)</f>
        <v>0</v>
      </c>
      <c r="Q37" s="20">
        <f>IF(tblKadry[[#This Row],[Data_zatrudnienia]]&gt;pDataRaportu,0,ROUND(YEARFRAC(tblKadry[[#This Row],[Data_zatrudnienia]],IF(tblKadry[[#This Row],[Data_zwolnienia]]="",pDataRaportu,tblKadry[[#This Row],[Data_zwolnienia]])),1))</f>
        <v>0.4</v>
      </c>
      <c r="R37" s="19">
        <f>tblKadry[[#This Row],[Brutto_mies]]*(1+pNarzut)</f>
        <v>23139.606</v>
      </c>
      <c r="S37" s="19">
        <f>_xlfn.XLOOKUP(tblKadry[[#This Row],[Grupa]],tblWidelki[Grupa],tblWidelki[Środek],"")</f>
        <v>20500</v>
      </c>
      <c r="T37" s="18">
        <f>IF(tblKadry[[#This Row],[Stawka_pełny_etat]]="","",tblKadry[[#This Row],[Stawka_pełny_etat]]/tblKadry[[#This Row],[Środek_widełek]])</f>
        <v>0.87658536585365854</v>
      </c>
      <c r="U3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8" spans="1:22" x14ac:dyDescent="0.3">
      <c r="A38" s="1" t="s">
        <v>177</v>
      </c>
      <c r="B38" s="1" t="s">
        <v>40</v>
      </c>
      <c r="C38" s="1" t="s">
        <v>43</v>
      </c>
      <c r="D38" s="1" t="s">
        <v>70</v>
      </c>
      <c r="E38" s="1" t="s">
        <v>32</v>
      </c>
      <c r="F38" s="1" t="s">
        <v>60</v>
      </c>
      <c r="G38" s="17">
        <v>42301</v>
      </c>
      <c r="H38" s="1" t="s">
        <v>61</v>
      </c>
      <c r="I38" s="18">
        <v>0.5</v>
      </c>
      <c r="J38" s="19">
        <v>8890</v>
      </c>
      <c r="K38" s="19">
        <v>0</v>
      </c>
      <c r="L38" s="1" t="s">
        <v>62</v>
      </c>
      <c r="M38" s="17"/>
      <c r="N38" s="19">
        <f>tblKadry[[#This Row],[Wynagrodzenie_zasadnicze]]+tblKadry[[#This Row],[Dodatek_funkcyjny]]</f>
        <v>8890</v>
      </c>
      <c r="O38" s="19">
        <f>IF(OR(tblKadry[[#This Row],[Wynagrodzenie_zasadnicze]]="",tblKadry[[#This Row],[Etat]]=0),"",tblKadry[[#This Row],[Wynagrodzenie_zasadnicze]]/tblKadry[[#This Row],[Etat]])</f>
        <v>17780</v>
      </c>
      <c r="P38" s="21">
        <f>IF(AND(tblKadry[[#This Row],[Status]]="Aktywny",tblKadry[[#This Row],[Data_zatrudnienia]]&lt;=pDataRaportu),1,0)</f>
        <v>1</v>
      </c>
      <c r="Q38" s="20">
        <f>IF(tblKadry[[#This Row],[Data_zatrudnienia]]&gt;pDataRaportu,0,ROUND(YEARFRAC(tblKadry[[#This Row],[Data_zatrudnienia]],IF(tblKadry[[#This Row],[Data_zwolnienia]]="",pDataRaportu,tblKadry[[#This Row],[Data_zwolnienia]])),1))</f>
        <v>10.9</v>
      </c>
      <c r="R38" s="19">
        <f>tblKadry[[#This Row],[Brutto_mies]]*(1+pNarzut)</f>
        <v>10844.022000000001</v>
      </c>
      <c r="S38" s="19">
        <f>_xlfn.XLOOKUP(tblKadry[[#This Row],[Grupa]],tblWidelki[Grupa],tblWidelki[Środek],"")</f>
        <v>16000</v>
      </c>
      <c r="T38" s="18">
        <f>IF(tblKadry[[#This Row],[Stawka_pełny_etat]]="","",tblKadry[[#This Row],[Stawka_pełny_etat]]/tblKadry[[#This Row],[Środek_widełek]])</f>
        <v>1.1112500000000001</v>
      </c>
      <c r="U3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39" spans="1:22" x14ac:dyDescent="0.3">
      <c r="A39" s="1" t="s">
        <v>196</v>
      </c>
      <c r="B39" s="1" t="s">
        <v>40</v>
      </c>
      <c r="C39" s="1" t="s">
        <v>45</v>
      </c>
      <c r="D39" s="1" t="s">
        <v>70</v>
      </c>
      <c r="E39" s="1" t="s">
        <v>32</v>
      </c>
      <c r="F39" s="1" t="s">
        <v>67</v>
      </c>
      <c r="G39" s="17">
        <v>45224</v>
      </c>
      <c r="H39" s="1" t="s">
        <v>61</v>
      </c>
      <c r="I39" s="18">
        <v>1</v>
      </c>
      <c r="J39" s="19">
        <v>16100</v>
      </c>
      <c r="K39" s="19">
        <v>0</v>
      </c>
      <c r="L39" s="1" t="s">
        <v>62</v>
      </c>
      <c r="M39" s="17"/>
      <c r="N39" s="19">
        <f>tblKadry[[#This Row],[Wynagrodzenie_zasadnicze]]+tblKadry[[#This Row],[Dodatek_funkcyjny]]</f>
        <v>16100</v>
      </c>
      <c r="O39" s="19">
        <f>IF(OR(tblKadry[[#This Row],[Wynagrodzenie_zasadnicze]]="",tblKadry[[#This Row],[Etat]]=0),"",tblKadry[[#This Row],[Wynagrodzenie_zasadnicze]]/tblKadry[[#This Row],[Etat]])</f>
        <v>16100</v>
      </c>
      <c r="P39" s="21">
        <f>IF(AND(tblKadry[[#This Row],[Status]]="Aktywny",tblKadry[[#This Row],[Data_zatrudnienia]]&lt;=pDataRaportu),1,0)</f>
        <v>1</v>
      </c>
      <c r="Q39" s="20">
        <f>IF(tblKadry[[#This Row],[Data_zatrudnienia]]&gt;pDataRaportu,0,ROUND(YEARFRAC(tblKadry[[#This Row],[Data_zatrudnienia]],IF(tblKadry[[#This Row],[Data_zwolnienia]]="",pDataRaportu,tblKadry[[#This Row],[Data_zwolnienia]])),1))</f>
        <v>2.9</v>
      </c>
      <c r="R39" s="19">
        <f>tblKadry[[#This Row],[Brutto_mies]]*(1+pNarzut)</f>
        <v>19638.78</v>
      </c>
      <c r="S39" s="19">
        <f>_xlfn.XLOOKUP(tblKadry[[#This Row],[Grupa]],tblWidelki[Grupa],tblWidelki[Środek],"")</f>
        <v>16000</v>
      </c>
      <c r="T39" s="18">
        <f>IF(tblKadry[[#This Row],[Stawka_pełny_etat]]="","",tblKadry[[#This Row],[Stawka_pełny_etat]]/tblKadry[[#This Row],[Środek_widełek]])</f>
        <v>1.0062500000000001</v>
      </c>
      <c r="U3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3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0" spans="1:22" x14ac:dyDescent="0.3">
      <c r="A40" s="1" t="s">
        <v>127</v>
      </c>
      <c r="B40" s="1" t="s">
        <v>38</v>
      </c>
      <c r="C40" s="1" t="s">
        <v>43</v>
      </c>
      <c r="D40" s="1" t="s">
        <v>70</v>
      </c>
      <c r="E40" s="1" t="s">
        <v>32</v>
      </c>
      <c r="F40" s="1" t="s">
        <v>67</v>
      </c>
      <c r="G40" s="17">
        <v>45188</v>
      </c>
      <c r="H40" s="1" t="s">
        <v>61</v>
      </c>
      <c r="I40" s="18">
        <v>1</v>
      </c>
      <c r="J40" s="19">
        <v>16000</v>
      </c>
      <c r="K40" s="19">
        <v>0</v>
      </c>
      <c r="L40" s="1" t="s">
        <v>62</v>
      </c>
      <c r="M40" s="17"/>
      <c r="N40" s="19">
        <f>tblKadry[[#This Row],[Wynagrodzenie_zasadnicze]]+tblKadry[[#This Row],[Dodatek_funkcyjny]]</f>
        <v>16000</v>
      </c>
      <c r="O40" s="19">
        <f>IF(OR(tblKadry[[#This Row],[Wynagrodzenie_zasadnicze]]="",tblKadry[[#This Row],[Etat]]=0),"",tblKadry[[#This Row],[Wynagrodzenie_zasadnicze]]/tblKadry[[#This Row],[Etat]])</f>
        <v>16000</v>
      </c>
      <c r="P40" s="21">
        <f>IF(AND(tblKadry[[#This Row],[Status]]="Aktywny",tblKadry[[#This Row],[Data_zatrudnienia]]&lt;=pDataRaportu),1,0)</f>
        <v>1</v>
      </c>
      <c r="Q40" s="20">
        <f>IF(tblKadry[[#This Row],[Data_zatrudnienia]]&gt;pDataRaportu,0,ROUND(YEARFRAC(tblKadry[[#This Row],[Data_zatrudnienia]],IF(tblKadry[[#This Row],[Data_zwolnienia]]="",pDataRaportu,tblKadry[[#This Row],[Data_zwolnienia]])),1))</f>
        <v>3</v>
      </c>
      <c r="R40" s="19">
        <f>tblKadry[[#This Row],[Brutto_mies]]*(1+pNarzut)</f>
        <v>19516.8</v>
      </c>
      <c r="S40" s="19">
        <f>_xlfn.XLOOKUP(tblKadry[[#This Row],[Grupa]],tblWidelki[Grupa],tblWidelki[Środek],"")</f>
        <v>16000</v>
      </c>
      <c r="T40" s="18">
        <f>IF(tblKadry[[#This Row],[Stawka_pełny_etat]]="","",tblKadry[[#This Row],[Stawka_pełny_etat]]/tblKadry[[#This Row],[Środek_widełek]])</f>
        <v>1</v>
      </c>
      <c r="U4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1" spans="1:22" x14ac:dyDescent="0.3">
      <c r="A41" s="1" t="s">
        <v>151</v>
      </c>
      <c r="B41" s="1" t="s">
        <v>38</v>
      </c>
      <c r="C41" s="1" t="s">
        <v>45</v>
      </c>
      <c r="D41" s="1" t="s">
        <v>70</v>
      </c>
      <c r="E41" s="1" t="s">
        <v>32</v>
      </c>
      <c r="F41" s="1" t="s">
        <v>60</v>
      </c>
      <c r="G41" s="17">
        <v>44433</v>
      </c>
      <c r="H41" s="1" t="s">
        <v>61</v>
      </c>
      <c r="I41" s="18">
        <v>0.5</v>
      </c>
      <c r="J41" s="19">
        <v>7920</v>
      </c>
      <c r="K41" s="19">
        <v>0</v>
      </c>
      <c r="L41" s="1" t="s">
        <v>83</v>
      </c>
      <c r="M41" s="17">
        <v>45928</v>
      </c>
      <c r="N41" s="19">
        <f>tblKadry[[#This Row],[Wynagrodzenie_zasadnicze]]+tblKadry[[#This Row],[Dodatek_funkcyjny]]</f>
        <v>7920</v>
      </c>
      <c r="O41" s="19">
        <f>IF(OR(tblKadry[[#This Row],[Wynagrodzenie_zasadnicze]]="",tblKadry[[#This Row],[Etat]]=0),"",tblKadry[[#This Row],[Wynagrodzenie_zasadnicze]]/tblKadry[[#This Row],[Etat]])</f>
        <v>15840</v>
      </c>
      <c r="P41" s="21">
        <f>IF(AND(tblKadry[[#This Row],[Status]]="Aktywny",tblKadry[[#This Row],[Data_zatrudnienia]]&lt;=pDataRaportu),1,0)</f>
        <v>0</v>
      </c>
      <c r="Q41" s="20">
        <f>IF(tblKadry[[#This Row],[Data_zatrudnienia]]&gt;pDataRaportu,0,ROUND(YEARFRAC(tblKadry[[#This Row],[Data_zatrudnienia]],IF(tblKadry[[#This Row],[Data_zwolnienia]]="",pDataRaportu,tblKadry[[#This Row],[Data_zwolnienia]])),1))</f>
        <v>4.0999999999999996</v>
      </c>
      <c r="R41" s="19">
        <f>tblKadry[[#This Row],[Brutto_mies]]*(1+pNarzut)</f>
        <v>9660.8160000000007</v>
      </c>
      <c r="S41" s="19">
        <f>_xlfn.XLOOKUP(tblKadry[[#This Row],[Grupa]],tblWidelki[Grupa],tblWidelki[Środek],"")</f>
        <v>16000</v>
      </c>
      <c r="T41" s="18">
        <f>IF(tblKadry[[#This Row],[Stawka_pełny_etat]]="","",tblKadry[[#This Row],[Stawka_pełny_etat]]/tblKadry[[#This Row],[Środek_widełek]])</f>
        <v>0.99</v>
      </c>
      <c r="U4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2" spans="1:22" x14ac:dyDescent="0.3">
      <c r="A42" s="1" t="s">
        <v>129</v>
      </c>
      <c r="B42" s="1" t="s">
        <v>41</v>
      </c>
      <c r="C42" s="1" t="s">
        <v>43</v>
      </c>
      <c r="D42" s="1" t="s">
        <v>78</v>
      </c>
      <c r="E42" s="1" t="s">
        <v>34</v>
      </c>
      <c r="F42" s="1" t="s">
        <v>60</v>
      </c>
      <c r="G42" s="17">
        <v>43689</v>
      </c>
      <c r="H42" s="1" t="s">
        <v>61</v>
      </c>
      <c r="I42" s="18">
        <v>1</v>
      </c>
      <c r="J42" s="19">
        <v>15790</v>
      </c>
      <c r="K42" s="19">
        <v>0</v>
      </c>
      <c r="L42" s="1" t="s">
        <v>62</v>
      </c>
      <c r="M42" s="17"/>
      <c r="N42" s="19">
        <f>tblKadry[[#This Row],[Wynagrodzenie_zasadnicze]]+tblKadry[[#This Row],[Dodatek_funkcyjny]]</f>
        <v>15790</v>
      </c>
      <c r="O42" s="19">
        <f>IF(OR(tblKadry[[#This Row],[Wynagrodzenie_zasadnicze]]="",tblKadry[[#This Row],[Etat]]=0),"",tblKadry[[#This Row],[Wynagrodzenie_zasadnicze]]/tblKadry[[#This Row],[Etat]])</f>
        <v>15790</v>
      </c>
      <c r="P42" s="21">
        <f>IF(AND(tblKadry[[#This Row],[Status]]="Aktywny",tblKadry[[#This Row],[Data_zatrudnienia]]&lt;=pDataRaportu),1,0)</f>
        <v>1</v>
      </c>
      <c r="Q42" s="20">
        <f>IF(tblKadry[[#This Row],[Data_zatrudnienia]]&gt;pDataRaportu,0,ROUND(YEARFRAC(tblKadry[[#This Row],[Data_zatrudnienia]],IF(tblKadry[[#This Row],[Data_zwolnienia]]="",pDataRaportu,tblKadry[[#This Row],[Data_zwolnienia]])),1))</f>
        <v>7.1</v>
      </c>
      <c r="R42" s="19">
        <f>tblKadry[[#This Row],[Brutto_mies]]*(1+pNarzut)</f>
        <v>19260.642</v>
      </c>
      <c r="S42" s="19">
        <f>_xlfn.XLOOKUP(tblKadry[[#This Row],[Grupa]],tblWidelki[Grupa],tblWidelki[Środek],"")</f>
        <v>20500</v>
      </c>
      <c r="T42" s="18">
        <f>IF(tblKadry[[#This Row],[Stawka_pełny_etat]]="","",tblKadry[[#This Row],[Stawka_pełny_etat]]/tblKadry[[#This Row],[Środek_widełek]])</f>
        <v>0.77024390243902441</v>
      </c>
      <c r="U4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4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3" spans="1:22" x14ac:dyDescent="0.3">
      <c r="A43" s="1" t="s">
        <v>236</v>
      </c>
      <c r="B43" s="1" t="s">
        <v>41</v>
      </c>
      <c r="C43" s="1" t="s">
        <v>44</v>
      </c>
      <c r="D43" s="1" t="s">
        <v>70</v>
      </c>
      <c r="E43" s="1" t="s">
        <v>32</v>
      </c>
      <c r="F43" s="1" t="s">
        <v>60</v>
      </c>
      <c r="G43" s="17">
        <v>45593</v>
      </c>
      <c r="H43" s="1" t="s">
        <v>61</v>
      </c>
      <c r="I43" s="18">
        <v>1</v>
      </c>
      <c r="J43" s="19">
        <v>15650</v>
      </c>
      <c r="K43" s="19">
        <v>0</v>
      </c>
      <c r="L43" s="1" t="s">
        <v>62</v>
      </c>
      <c r="M43" s="17"/>
      <c r="N43" s="19">
        <f>tblKadry[[#This Row],[Wynagrodzenie_zasadnicze]]+tblKadry[[#This Row],[Dodatek_funkcyjny]]</f>
        <v>15650</v>
      </c>
      <c r="O43" s="19">
        <f>IF(OR(tblKadry[[#This Row],[Wynagrodzenie_zasadnicze]]="",tblKadry[[#This Row],[Etat]]=0),"",tblKadry[[#This Row],[Wynagrodzenie_zasadnicze]]/tblKadry[[#This Row],[Etat]])</f>
        <v>15650</v>
      </c>
      <c r="P43" s="21">
        <f>IF(AND(tblKadry[[#This Row],[Status]]="Aktywny",tblKadry[[#This Row],[Data_zatrudnienia]]&lt;=pDataRaportu),1,0)</f>
        <v>1</v>
      </c>
      <c r="Q43" s="20">
        <f>IF(tblKadry[[#This Row],[Data_zatrudnienia]]&gt;pDataRaportu,0,ROUND(YEARFRAC(tblKadry[[#This Row],[Data_zatrudnienia]],IF(tblKadry[[#This Row],[Data_zwolnienia]]="",pDataRaportu,tblKadry[[#This Row],[Data_zwolnienia]])),1))</f>
        <v>1.9</v>
      </c>
      <c r="R43" s="19">
        <f>tblKadry[[#This Row],[Brutto_mies]]*(1+pNarzut)</f>
        <v>19089.87</v>
      </c>
      <c r="S43" s="19">
        <f>_xlfn.XLOOKUP(tblKadry[[#This Row],[Grupa]],tblWidelki[Grupa],tblWidelki[Środek],"")</f>
        <v>16000</v>
      </c>
      <c r="T43" s="18">
        <f>IF(tblKadry[[#This Row],[Stawka_pełny_etat]]="","",tblKadry[[#This Row],[Stawka_pełny_etat]]/tblKadry[[#This Row],[Środek_widełek]])</f>
        <v>0.97812500000000002</v>
      </c>
      <c r="U4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4" spans="1:22" x14ac:dyDescent="0.3">
      <c r="A44" s="1" t="s">
        <v>232</v>
      </c>
      <c r="B44" s="1" t="s">
        <v>39</v>
      </c>
      <c r="C44" s="1" t="s">
        <v>44</v>
      </c>
      <c r="D44" s="1" t="s">
        <v>78</v>
      </c>
      <c r="E44" s="1" t="s">
        <v>34</v>
      </c>
      <c r="F44" s="1" t="s">
        <v>60</v>
      </c>
      <c r="G44" s="17">
        <v>44920</v>
      </c>
      <c r="H44" s="1" t="s">
        <v>61</v>
      </c>
      <c r="I44" s="18">
        <v>1</v>
      </c>
      <c r="J44" s="19">
        <v>15350</v>
      </c>
      <c r="K44" s="19">
        <v>0</v>
      </c>
      <c r="L44" s="1" t="s">
        <v>62</v>
      </c>
      <c r="M44" s="17"/>
      <c r="N44" s="19">
        <f>tblKadry[[#This Row],[Wynagrodzenie_zasadnicze]]+tblKadry[[#This Row],[Dodatek_funkcyjny]]</f>
        <v>15350</v>
      </c>
      <c r="O44" s="19">
        <f>IF(OR(tblKadry[[#This Row],[Wynagrodzenie_zasadnicze]]="",tblKadry[[#This Row],[Etat]]=0),"",tblKadry[[#This Row],[Wynagrodzenie_zasadnicze]]/tblKadry[[#This Row],[Etat]])</f>
        <v>15350</v>
      </c>
      <c r="P44" s="21">
        <f>IF(AND(tblKadry[[#This Row],[Status]]="Aktywny",tblKadry[[#This Row],[Data_zatrudnienia]]&lt;=pDataRaportu),1,0)</f>
        <v>1</v>
      </c>
      <c r="Q44" s="20">
        <f>IF(tblKadry[[#This Row],[Data_zatrudnienia]]&gt;pDataRaportu,0,ROUND(YEARFRAC(tblKadry[[#This Row],[Data_zatrudnienia]],IF(tblKadry[[#This Row],[Data_zwolnienia]]="",pDataRaportu,tblKadry[[#This Row],[Data_zwolnienia]])),1))</f>
        <v>3.8</v>
      </c>
      <c r="R44" s="19">
        <f>tblKadry[[#This Row],[Brutto_mies]]*(1+pNarzut)</f>
        <v>18723.93</v>
      </c>
      <c r="S44" s="19">
        <f>_xlfn.XLOOKUP(tblKadry[[#This Row],[Grupa]],tblWidelki[Grupa],tblWidelki[Środek],"")</f>
        <v>20500</v>
      </c>
      <c r="T44" s="18">
        <f>IF(tblKadry[[#This Row],[Stawka_pełny_etat]]="","",tblKadry[[#This Row],[Stawka_pełny_etat]]/tblKadry[[#This Row],[Środek_widełek]])</f>
        <v>0.74878048780487805</v>
      </c>
      <c r="U4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4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5" spans="1:22" x14ac:dyDescent="0.3">
      <c r="A45" s="1" t="s">
        <v>244</v>
      </c>
      <c r="B45" s="1" t="s">
        <v>41</v>
      </c>
      <c r="C45" s="1" t="s">
        <v>45</v>
      </c>
      <c r="D45" s="1" t="s">
        <v>70</v>
      </c>
      <c r="E45" s="1" t="s">
        <v>32</v>
      </c>
      <c r="F45" s="1" t="s">
        <v>67</v>
      </c>
      <c r="G45" s="17">
        <v>43211</v>
      </c>
      <c r="H45" s="1" t="s">
        <v>61</v>
      </c>
      <c r="I45" s="18">
        <v>1</v>
      </c>
      <c r="J45" s="19">
        <v>15320</v>
      </c>
      <c r="K45" s="19">
        <v>0</v>
      </c>
      <c r="L45" s="1" t="s">
        <v>62</v>
      </c>
      <c r="M45" s="17"/>
      <c r="N45" s="19">
        <f>tblKadry[[#This Row],[Wynagrodzenie_zasadnicze]]+tblKadry[[#This Row],[Dodatek_funkcyjny]]</f>
        <v>15320</v>
      </c>
      <c r="O45" s="19">
        <f>IF(OR(tblKadry[[#This Row],[Wynagrodzenie_zasadnicze]]="",tblKadry[[#This Row],[Etat]]=0),"",tblKadry[[#This Row],[Wynagrodzenie_zasadnicze]]/tblKadry[[#This Row],[Etat]])</f>
        <v>15320</v>
      </c>
      <c r="P45" s="21">
        <f>IF(AND(tblKadry[[#This Row],[Status]]="Aktywny",tblKadry[[#This Row],[Data_zatrudnienia]]&lt;=pDataRaportu),1,0)</f>
        <v>1</v>
      </c>
      <c r="Q45" s="20">
        <f>IF(tblKadry[[#This Row],[Data_zatrudnienia]]&gt;pDataRaportu,0,ROUND(YEARFRAC(tblKadry[[#This Row],[Data_zatrudnienia]],IF(tblKadry[[#This Row],[Data_zwolnienia]]="",pDataRaportu,tblKadry[[#This Row],[Data_zwolnienia]])),1))</f>
        <v>8.4</v>
      </c>
      <c r="R45" s="19">
        <f>tblKadry[[#This Row],[Brutto_mies]]*(1+pNarzut)</f>
        <v>18687.335999999999</v>
      </c>
      <c r="S45" s="19">
        <f>_xlfn.XLOOKUP(tblKadry[[#This Row],[Grupa]],tblWidelki[Grupa],tblWidelki[Środek],"")</f>
        <v>16000</v>
      </c>
      <c r="T45" s="18">
        <f>IF(tblKadry[[#This Row],[Stawka_pełny_etat]]="","",tblKadry[[#This Row],[Stawka_pełny_etat]]/tblKadry[[#This Row],[Środek_widełek]])</f>
        <v>0.95750000000000002</v>
      </c>
      <c r="U4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6" spans="1:22" x14ac:dyDescent="0.3">
      <c r="A46" s="1" t="s">
        <v>95</v>
      </c>
      <c r="B46" s="1" t="s">
        <v>39</v>
      </c>
      <c r="C46" s="1" t="s">
        <v>45</v>
      </c>
      <c r="D46" s="1" t="s">
        <v>70</v>
      </c>
      <c r="E46" s="1" t="s">
        <v>32</v>
      </c>
      <c r="F46" s="1" t="s">
        <v>60</v>
      </c>
      <c r="G46" s="17">
        <v>44990</v>
      </c>
      <c r="H46" s="1" t="s">
        <v>61</v>
      </c>
      <c r="I46" s="18">
        <v>1</v>
      </c>
      <c r="J46" s="19">
        <v>15120</v>
      </c>
      <c r="K46" s="19">
        <v>0</v>
      </c>
      <c r="L46" s="1" t="s">
        <v>62</v>
      </c>
      <c r="M46" s="17"/>
      <c r="N46" s="19">
        <f>tblKadry[[#This Row],[Wynagrodzenie_zasadnicze]]+tblKadry[[#This Row],[Dodatek_funkcyjny]]</f>
        <v>15120</v>
      </c>
      <c r="O46" s="19">
        <f>IF(OR(tblKadry[[#This Row],[Wynagrodzenie_zasadnicze]]="",tblKadry[[#This Row],[Etat]]=0),"",tblKadry[[#This Row],[Wynagrodzenie_zasadnicze]]/tblKadry[[#This Row],[Etat]])</f>
        <v>15120</v>
      </c>
      <c r="P46" s="21">
        <f>IF(AND(tblKadry[[#This Row],[Status]]="Aktywny",tblKadry[[#This Row],[Data_zatrudnienia]]&lt;=pDataRaportu),1,0)</f>
        <v>1</v>
      </c>
      <c r="Q46" s="20">
        <f>IF(tblKadry[[#This Row],[Data_zatrudnienia]]&gt;pDataRaportu,0,ROUND(YEARFRAC(tblKadry[[#This Row],[Data_zatrudnienia]],IF(tblKadry[[#This Row],[Data_zwolnienia]]="",pDataRaportu,tblKadry[[#This Row],[Data_zwolnienia]])),1))</f>
        <v>3.6</v>
      </c>
      <c r="R46" s="19">
        <f>tblKadry[[#This Row],[Brutto_mies]]*(1+pNarzut)</f>
        <v>18443.376</v>
      </c>
      <c r="S46" s="19">
        <f>_xlfn.XLOOKUP(tblKadry[[#This Row],[Grupa]],tblWidelki[Grupa],tblWidelki[Środek],"")</f>
        <v>16000</v>
      </c>
      <c r="T46" s="18">
        <f>IF(tblKadry[[#This Row],[Stawka_pełny_etat]]="","",tblKadry[[#This Row],[Stawka_pełny_etat]]/tblKadry[[#This Row],[Środek_widełek]])</f>
        <v>0.94499999999999995</v>
      </c>
      <c r="U4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7" spans="1:22" x14ac:dyDescent="0.3">
      <c r="A47" s="1" t="s">
        <v>156</v>
      </c>
      <c r="B47" s="1" t="s">
        <v>41</v>
      </c>
      <c r="C47" s="1" t="s">
        <v>43</v>
      </c>
      <c r="D47" s="1" t="s">
        <v>70</v>
      </c>
      <c r="E47" s="1" t="s">
        <v>32</v>
      </c>
      <c r="F47" s="1" t="s">
        <v>67</v>
      </c>
      <c r="G47" s="17">
        <v>45246</v>
      </c>
      <c r="H47" s="1" t="s">
        <v>61</v>
      </c>
      <c r="I47" s="18">
        <v>1</v>
      </c>
      <c r="J47" s="19">
        <v>15090</v>
      </c>
      <c r="K47" s="19">
        <v>0</v>
      </c>
      <c r="L47" s="1" t="s">
        <v>62</v>
      </c>
      <c r="M47" s="17"/>
      <c r="N47" s="19">
        <f>tblKadry[[#This Row],[Wynagrodzenie_zasadnicze]]+tblKadry[[#This Row],[Dodatek_funkcyjny]]</f>
        <v>15090</v>
      </c>
      <c r="O47" s="19">
        <f>IF(OR(tblKadry[[#This Row],[Wynagrodzenie_zasadnicze]]="",tblKadry[[#This Row],[Etat]]=0),"",tblKadry[[#This Row],[Wynagrodzenie_zasadnicze]]/tblKadry[[#This Row],[Etat]])</f>
        <v>15090</v>
      </c>
      <c r="P47" s="21">
        <f>IF(AND(tblKadry[[#This Row],[Status]]="Aktywny",tblKadry[[#This Row],[Data_zatrudnienia]]&lt;=pDataRaportu),1,0)</f>
        <v>1</v>
      </c>
      <c r="Q47" s="20">
        <f>IF(tblKadry[[#This Row],[Data_zatrudnienia]]&gt;pDataRaportu,0,ROUND(YEARFRAC(tblKadry[[#This Row],[Data_zatrudnienia]],IF(tblKadry[[#This Row],[Data_zwolnienia]]="",pDataRaportu,tblKadry[[#This Row],[Data_zwolnienia]])),1))</f>
        <v>2.9</v>
      </c>
      <c r="R47" s="19">
        <f>tblKadry[[#This Row],[Brutto_mies]]*(1+pNarzut)</f>
        <v>18406.781999999999</v>
      </c>
      <c r="S47" s="19">
        <f>_xlfn.XLOOKUP(tblKadry[[#This Row],[Grupa]],tblWidelki[Grupa],tblWidelki[Środek],"")</f>
        <v>16000</v>
      </c>
      <c r="T47" s="18">
        <f>IF(tblKadry[[#This Row],[Stawka_pełny_etat]]="","",tblKadry[[#This Row],[Stawka_pełny_etat]]/tblKadry[[#This Row],[Środek_widełek]])</f>
        <v>0.94312499999999999</v>
      </c>
      <c r="U4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8" spans="1:22" x14ac:dyDescent="0.3">
      <c r="A48" s="1" t="s">
        <v>204</v>
      </c>
      <c r="B48" s="1" t="s">
        <v>38</v>
      </c>
      <c r="C48" s="1" t="s">
        <v>43</v>
      </c>
      <c r="D48" s="1" t="s">
        <v>70</v>
      </c>
      <c r="E48" s="1" t="s">
        <v>32</v>
      </c>
      <c r="F48" s="1" t="s">
        <v>60</v>
      </c>
      <c r="G48" s="17">
        <v>45397</v>
      </c>
      <c r="H48" s="1" t="s">
        <v>68</v>
      </c>
      <c r="I48" s="18">
        <v>1</v>
      </c>
      <c r="J48" s="19">
        <v>14400</v>
      </c>
      <c r="K48" s="19">
        <v>0</v>
      </c>
      <c r="L48" s="1" t="s">
        <v>62</v>
      </c>
      <c r="M48" s="17"/>
      <c r="N48" s="19">
        <f>tblKadry[[#This Row],[Wynagrodzenie_zasadnicze]]+tblKadry[[#This Row],[Dodatek_funkcyjny]]</f>
        <v>14400</v>
      </c>
      <c r="O48" s="19">
        <f>IF(OR(tblKadry[[#This Row],[Wynagrodzenie_zasadnicze]]="",tblKadry[[#This Row],[Etat]]=0),"",tblKadry[[#This Row],[Wynagrodzenie_zasadnicze]]/tblKadry[[#This Row],[Etat]])</f>
        <v>14400</v>
      </c>
      <c r="P48" s="21">
        <f>IF(AND(tblKadry[[#This Row],[Status]]="Aktywny",tblKadry[[#This Row],[Data_zatrudnienia]]&lt;=pDataRaportu),1,0)</f>
        <v>1</v>
      </c>
      <c r="Q48" s="20">
        <f>IF(tblKadry[[#This Row],[Data_zatrudnienia]]&gt;pDataRaportu,0,ROUND(YEARFRAC(tblKadry[[#This Row],[Data_zatrudnienia]],IF(tblKadry[[#This Row],[Data_zwolnienia]]="",pDataRaportu,tblKadry[[#This Row],[Data_zwolnienia]])),1))</f>
        <v>2.5</v>
      </c>
      <c r="R48" s="19">
        <f>tblKadry[[#This Row],[Brutto_mies]]*(1+pNarzut)</f>
        <v>17565.12</v>
      </c>
      <c r="S48" s="19">
        <f>_xlfn.XLOOKUP(tblKadry[[#This Row],[Grupa]],tblWidelki[Grupa],tblWidelki[Środek],"")</f>
        <v>16000</v>
      </c>
      <c r="T48" s="18">
        <f>IF(tblKadry[[#This Row],[Stawka_pełny_etat]]="","",tblKadry[[#This Row],[Stawka_pełny_etat]]/tblKadry[[#This Row],[Środek_widełek]])</f>
        <v>0.9</v>
      </c>
      <c r="U4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49" spans="1:22" x14ac:dyDescent="0.3">
      <c r="A49" s="1" t="s">
        <v>69</v>
      </c>
      <c r="B49" s="1" t="s">
        <v>38</v>
      </c>
      <c r="C49" s="1" t="s">
        <v>43</v>
      </c>
      <c r="D49" s="1" t="s">
        <v>70</v>
      </c>
      <c r="E49" s="1" t="s">
        <v>32</v>
      </c>
      <c r="F49" s="1" t="s">
        <v>60</v>
      </c>
      <c r="G49" s="17">
        <v>46033</v>
      </c>
      <c r="H49" s="1" t="s">
        <v>68</v>
      </c>
      <c r="I49" s="18">
        <v>0.5</v>
      </c>
      <c r="J49" s="19">
        <v>6925</v>
      </c>
      <c r="K49" s="19">
        <v>0</v>
      </c>
      <c r="L49" s="1" t="s">
        <v>62</v>
      </c>
      <c r="M49" s="17"/>
      <c r="N49" s="19">
        <f>tblKadry[[#This Row],[Wynagrodzenie_zasadnicze]]+tblKadry[[#This Row],[Dodatek_funkcyjny]]</f>
        <v>6925</v>
      </c>
      <c r="O49" s="19">
        <f>IF(OR(tblKadry[[#This Row],[Wynagrodzenie_zasadnicze]]="",tblKadry[[#This Row],[Etat]]=0),"",tblKadry[[#This Row],[Wynagrodzenie_zasadnicze]]/tblKadry[[#This Row],[Etat]])</f>
        <v>13850</v>
      </c>
      <c r="P49" s="21">
        <f>IF(AND(tblKadry[[#This Row],[Status]]="Aktywny",tblKadry[[#This Row],[Data_zatrudnienia]]&lt;=pDataRaportu),1,0)</f>
        <v>1</v>
      </c>
      <c r="Q49" s="20">
        <f>IF(tblKadry[[#This Row],[Data_zatrudnienia]]&gt;pDataRaportu,0,ROUND(YEARFRAC(tblKadry[[#This Row],[Data_zatrudnienia]],IF(tblKadry[[#This Row],[Data_zwolnienia]]="",pDataRaportu,tblKadry[[#This Row],[Data_zwolnienia]])),1))</f>
        <v>0.7</v>
      </c>
      <c r="R49" s="19">
        <f>tblKadry[[#This Row],[Brutto_mies]]*(1+pNarzut)</f>
        <v>8447.1149999999998</v>
      </c>
      <c r="S49" s="19">
        <f>_xlfn.XLOOKUP(tblKadry[[#This Row],[Grupa]],tblWidelki[Grupa],tblWidelki[Środek],"")</f>
        <v>16000</v>
      </c>
      <c r="T49" s="18">
        <f>IF(tblKadry[[#This Row],[Stawka_pełny_etat]]="","",tblKadry[[#This Row],[Stawka_pełny_etat]]/tblKadry[[#This Row],[Środek_widełek]])</f>
        <v>0.86562499999999998</v>
      </c>
      <c r="U4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4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0" spans="1:22" x14ac:dyDescent="0.3">
      <c r="A50" s="1" t="s">
        <v>181</v>
      </c>
      <c r="B50" s="1" t="s">
        <v>38</v>
      </c>
      <c r="C50" s="1" t="s">
        <v>44</v>
      </c>
      <c r="D50" s="1" t="s">
        <v>70</v>
      </c>
      <c r="E50" s="1" t="s">
        <v>32</v>
      </c>
      <c r="F50" s="1" t="s">
        <v>67</v>
      </c>
      <c r="G50" s="17">
        <v>45458</v>
      </c>
      <c r="H50" s="1" t="s">
        <v>61</v>
      </c>
      <c r="I50" s="18">
        <v>0.5</v>
      </c>
      <c r="J50" s="19">
        <v>6205</v>
      </c>
      <c r="K50" s="19">
        <v>0</v>
      </c>
      <c r="L50" s="1" t="s">
        <v>62</v>
      </c>
      <c r="M50" s="17"/>
      <c r="N50" s="19">
        <f>tblKadry[[#This Row],[Wynagrodzenie_zasadnicze]]+tblKadry[[#This Row],[Dodatek_funkcyjny]]</f>
        <v>6205</v>
      </c>
      <c r="O50" s="19">
        <f>IF(OR(tblKadry[[#This Row],[Wynagrodzenie_zasadnicze]]="",tblKadry[[#This Row],[Etat]]=0),"",tblKadry[[#This Row],[Wynagrodzenie_zasadnicze]]/tblKadry[[#This Row],[Etat]])</f>
        <v>12410</v>
      </c>
      <c r="P50" s="21">
        <f>IF(AND(tblKadry[[#This Row],[Status]]="Aktywny",tblKadry[[#This Row],[Data_zatrudnienia]]&lt;=pDataRaportu),1,0)</f>
        <v>1</v>
      </c>
      <c r="Q50" s="20">
        <f>IF(tblKadry[[#This Row],[Data_zatrudnienia]]&gt;pDataRaportu,0,ROUND(YEARFRAC(tblKadry[[#This Row],[Data_zatrudnienia]],IF(tblKadry[[#This Row],[Data_zwolnienia]]="",pDataRaportu,tblKadry[[#This Row],[Data_zwolnienia]])),1))</f>
        <v>2.2999999999999998</v>
      </c>
      <c r="R50" s="19">
        <f>tblKadry[[#This Row],[Brutto_mies]]*(1+pNarzut)</f>
        <v>7568.8590000000004</v>
      </c>
      <c r="S50" s="19">
        <f>_xlfn.XLOOKUP(tblKadry[[#This Row],[Grupa]],tblWidelki[Grupa],tblWidelki[Środek],"")</f>
        <v>16000</v>
      </c>
      <c r="T50" s="18">
        <f>IF(tblKadry[[#This Row],[Stawka_pełny_etat]]="","",tblKadry[[#This Row],[Stawka_pełny_etat]]/tblKadry[[#This Row],[Środek_widełek]])</f>
        <v>0.77562500000000001</v>
      </c>
      <c r="U5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5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1" spans="1:22" x14ac:dyDescent="0.3">
      <c r="A51" s="1" t="s">
        <v>222</v>
      </c>
      <c r="B51" s="1" t="s">
        <v>39</v>
      </c>
      <c r="C51" s="1" t="s">
        <v>47</v>
      </c>
      <c r="D51" s="1" t="s">
        <v>76</v>
      </c>
      <c r="E51" s="1" t="s">
        <v>30</v>
      </c>
      <c r="F51" s="1" t="s">
        <v>67</v>
      </c>
      <c r="G51" s="17">
        <v>41041</v>
      </c>
      <c r="H51" s="1" t="s">
        <v>61</v>
      </c>
      <c r="I51" s="18">
        <v>1</v>
      </c>
      <c r="J51" s="19">
        <v>12210</v>
      </c>
      <c r="K51" s="19">
        <v>2000</v>
      </c>
      <c r="L51" s="1" t="s">
        <v>62</v>
      </c>
      <c r="M51" s="17"/>
      <c r="N51" s="19">
        <f>tblKadry[[#This Row],[Wynagrodzenie_zasadnicze]]+tblKadry[[#This Row],[Dodatek_funkcyjny]]</f>
        <v>14210</v>
      </c>
      <c r="O51" s="19">
        <f>IF(OR(tblKadry[[#This Row],[Wynagrodzenie_zasadnicze]]="",tblKadry[[#This Row],[Etat]]=0),"",tblKadry[[#This Row],[Wynagrodzenie_zasadnicze]]/tblKadry[[#This Row],[Etat]])</f>
        <v>12210</v>
      </c>
      <c r="P51" s="21">
        <f>IF(AND(tblKadry[[#This Row],[Status]]="Aktywny",tblKadry[[#This Row],[Data_zatrudnienia]]&lt;=pDataRaportu),1,0)</f>
        <v>1</v>
      </c>
      <c r="Q51" s="20">
        <f>IF(tblKadry[[#This Row],[Data_zatrudnienia]]&gt;pDataRaportu,0,ROUND(YEARFRAC(tblKadry[[#This Row],[Data_zatrudnienia]],IF(tblKadry[[#This Row],[Data_zwolnienia]]="",pDataRaportu,tblKadry[[#This Row],[Data_zwolnienia]])),1))</f>
        <v>14.4</v>
      </c>
      <c r="R51" s="19">
        <f>tblKadry[[#This Row],[Brutto_mies]]*(1+pNarzut)</f>
        <v>17333.358</v>
      </c>
      <c r="S51" s="19">
        <f>_xlfn.XLOOKUP(tblKadry[[#This Row],[Grupa]],tblWidelki[Grupa],tblWidelki[Środek],"")</f>
        <v>11000</v>
      </c>
      <c r="T51" s="18">
        <f>IF(tblKadry[[#This Row],[Stawka_pełny_etat]]="","",tblKadry[[#This Row],[Stawka_pełny_etat]]/tblKadry[[#This Row],[Środek_widełek]])</f>
        <v>1.1100000000000001</v>
      </c>
      <c r="U5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5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2" spans="1:22" x14ac:dyDescent="0.3">
      <c r="A52" s="1" t="s">
        <v>225</v>
      </c>
      <c r="B52" s="1" t="s">
        <v>39</v>
      </c>
      <c r="C52" s="1" t="s">
        <v>43</v>
      </c>
      <c r="D52" s="1" t="s">
        <v>70</v>
      </c>
      <c r="E52" s="1" t="s">
        <v>32</v>
      </c>
      <c r="F52" s="1" t="s">
        <v>67</v>
      </c>
      <c r="G52" s="17">
        <v>44532</v>
      </c>
      <c r="H52" s="1" t="s">
        <v>61</v>
      </c>
      <c r="I52" s="18">
        <v>1</v>
      </c>
      <c r="J52" s="19">
        <v>12010</v>
      </c>
      <c r="K52" s="19">
        <v>0</v>
      </c>
      <c r="L52" s="1" t="s">
        <v>62</v>
      </c>
      <c r="M52" s="17"/>
      <c r="N52" s="19">
        <f>tblKadry[[#This Row],[Wynagrodzenie_zasadnicze]]+tblKadry[[#This Row],[Dodatek_funkcyjny]]</f>
        <v>12010</v>
      </c>
      <c r="O52" s="19">
        <f>IF(OR(tblKadry[[#This Row],[Wynagrodzenie_zasadnicze]]="",tblKadry[[#This Row],[Etat]]=0),"",tblKadry[[#This Row],[Wynagrodzenie_zasadnicze]]/tblKadry[[#This Row],[Etat]])</f>
        <v>12010</v>
      </c>
      <c r="P52" s="21">
        <f>IF(AND(tblKadry[[#This Row],[Status]]="Aktywny",tblKadry[[#This Row],[Data_zatrudnienia]]&lt;=pDataRaportu),1,0)</f>
        <v>1</v>
      </c>
      <c r="Q52" s="20">
        <f>IF(tblKadry[[#This Row],[Data_zatrudnienia]]&gt;pDataRaportu,0,ROUND(YEARFRAC(tblKadry[[#This Row],[Data_zatrudnienia]],IF(tblKadry[[#This Row],[Data_zwolnienia]]="",pDataRaportu,tblKadry[[#This Row],[Data_zwolnienia]])),1))</f>
        <v>4.8</v>
      </c>
      <c r="R52" s="19">
        <f>tblKadry[[#This Row],[Brutto_mies]]*(1+pNarzut)</f>
        <v>14649.798000000001</v>
      </c>
      <c r="S52" s="19">
        <f>_xlfn.XLOOKUP(tblKadry[[#This Row],[Grupa]],tblWidelki[Grupa],tblWidelki[Środek],"")</f>
        <v>16000</v>
      </c>
      <c r="T52" s="18">
        <f>IF(tblKadry[[#This Row],[Stawka_pełny_etat]]="","",tblKadry[[#This Row],[Stawka_pełny_etat]]/tblKadry[[#This Row],[Środek_widełek]])</f>
        <v>0.75062499999999999</v>
      </c>
      <c r="U5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5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3" spans="1:22" x14ac:dyDescent="0.3">
      <c r="A53" s="1" t="s">
        <v>142</v>
      </c>
      <c r="B53" s="1" t="s">
        <v>38</v>
      </c>
      <c r="C53" s="1" t="s">
        <v>44</v>
      </c>
      <c r="D53" s="1" t="s">
        <v>125</v>
      </c>
      <c r="E53" s="1" t="s">
        <v>30</v>
      </c>
      <c r="F53" s="1" t="s">
        <v>60</v>
      </c>
      <c r="G53" s="17">
        <v>43498</v>
      </c>
      <c r="H53" s="1" t="s">
        <v>61</v>
      </c>
      <c r="I53" s="18">
        <v>1</v>
      </c>
      <c r="J53" s="19">
        <v>11810</v>
      </c>
      <c r="K53" s="19">
        <v>0</v>
      </c>
      <c r="L53" s="1" t="s">
        <v>62</v>
      </c>
      <c r="M53" s="17"/>
      <c r="N53" s="19">
        <f>tblKadry[[#This Row],[Wynagrodzenie_zasadnicze]]+tblKadry[[#This Row],[Dodatek_funkcyjny]]</f>
        <v>11810</v>
      </c>
      <c r="O53" s="19">
        <f>IF(OR(tblKadry[[#This Row],[Wynagrodzenie_zasadnicze]]="",tblKadry[[#This Row],[Etat]]=0),"",tblKadry[[#This Row],[Wynagrodzenie_zasadnicze]]/tblKadry[[#This Row],[Etat]])</f>
        <v>11810</v>
      </c>
      <c r="P53" s="21">
        <f>IF(AND(tblKadry[[#This Row],[Status]]="Aktywny",tblKadry[[#This Row],[Data_zatrudnienia]]&lt;=pDataRaportu),1,0)</f>
        <v>1</v>
      </c>
      <c r="Q53" s="20">
        <f>IF(tblKadry[[#This Row],[Data_zatrudnienia]]&gt;pDataRaportu,0,ROUND(YEARFRAC(tblKadry[[#This Row],[Data_zatrudnienia]],IF(tblKadry[[#This Row],[Data_zwolnienia]]="",pDataRaportu,tblKadry[[#This Row],[Data_zwolnienia]])),1))</f>
        <v>7.7</v>
      </c>
      <c r="R53" s="19">
        <f>tblKadry[[#This Row],[Brutto_mies]]*(1+pNarzut)</f>
        <v>14405.838</v>
      </c>
      <c r="S53" s="19">
        <f>_xlfn.XLOOKUP(tblKadry[[#This Row],[Grupa]],tblWidelki[Grupa],tblWidelki[Środek],"")</f>
        <v>11000</v>
      </c>
      <c r="T53" s="18">
        <f>IF(tblKadry[[#This Row],[Stawka_pełny_etat]]="","",tblKadry[[#This Row],[Stawka_pełny_etat]]/tblKadry[[#This Row],[Środek_widełek]])</f>
        <v>1.0736363636363637</v>
      </c>
      <c r="U5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5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4" spans="1:22" x14ac:dyDescent="0.3">
      <c r="A54" s="1" t="s">
        <v>253</v>
      </c>
      <c r="B54" s="1" t="s">
        <v>40</v>
      </c>
      <c r="C54" s="1" t="s">
        <v>46</v>
      </c>
      <c r="D54" s="1" t="s">
        <v>101</v>
      </c>
      <c r="E54" s="1" t="s">
        <v>30</v>
      </c>
      <c r="F54" s="1" t="s">
        <v>60</v>
      </c>
      <c r="G54" s="17">
        <v>44882</v>
      </c>
      <c r="H54" s="1" t="s">
        <v>61</v>
      </c>
      <c r="I54" s="18">
        <v>1</v>
      </c>
      <c r="J54" s="19">
        <v>11210</v>
      </c>
      <c r="K54" s="19">
        <v>2500</v>
      </c>
      <c r="L54" s="1" t="s">
        <v>62</v>
      </c>
      <c r="M54" s="17"/>
      <c r="N54" s="19">
        <f>tblKadry[[#This Row],[Wynagrodzenie_zasadnicze]]+tblKadry[[#This Row],[Dodatek_funkcyjny]]</f>
        <v>13710</v>
      </c>
      <c r="O54" s="19">
        <f>IF(OR(tblKadry[[#This Row],[Wynagrodzenie_zasadnicze]]="",tblKadry[[#This Row],[Etat]]=0),"",tblKadry[[#This Row],[Wynagrodzenie_zasadnicze]]/tblKadry[[#This Row],[Etat]])</f>
        <v>11210</v>
      </c>
      <c r="P54" s="21">
        <f>IF(AND(tblKadry[[#This Row],[Status]]="Aktywny",tblKadry[[#This Row],[Data_zatrudnienia]]&lt;=pDataRaportu),1,0)</f>
        <v>1</v>
      </c>
      <c r="Q54" s="20">
        <f>IF(tblKadry[[#This Row],[Data_zatrudnienia]]&gt;pDataRaportu,0,ROUND(YEARFRAC(tblKadry[[#This Row],[Data_zatrudnienia]],IF(tblKadry[[#This Row],[Data_zwolnienia]]="",pDataRaportu,tblKadry[[#This Row],[Data_zwolnienia]])),1))</f>
        <v>3.9</v>
      </c>
      <c r="R54" s="19">
        <f>tblKadry[[#This Row],[Brutto_mies]]*(1+pNarzut)</f>
        <v>16723.457999999999</v>
      </c>
      <c r="S54" s="19">
        <f>_xlfn.XLOOKUP(tblKadry[[#This Row],[Grupa]],tblWidelki[Grupa],tblWidelki[Środek],"")</f>
        <v>11000</v>
      </c>
      <c r="T54" s="18">
        <f>IF(tblKadry[[#This Row],[Stawka_pełny_etat]]="","",tblKadry[[#This Row],[Stawka_pełny_etat]]/tblKadry[[#This Row],[Środek_widełek]])</f>
        <v>1.019090909090909</v>
      </c>
      <c r="U5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5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5" spans="1:22" x14ac:dyDescent="0.3">
      <c r="A55" s="1" t="s">
        <v>230</v>
      </c>
      <c r="B55" s="1" t="s">
        <v>38</v>
      </c>
      <c r="C55" s="1" t="s">
        <v>46</v>
      </c>
      <c r="D55" s="1" t="s">
        <v>101</v>
      </c>
      <c r="E55" s="1" t="s">
        <v>30</v>
      </c>
      <c r="F55" s="1" t="s">
        <v>60</v>
      </c>
      <c r="G55" s="17">
        <v>44919</v>
      </c>
      <c r="H55" s="1" t="s">
        <v>61</v>
      </c>
      <c r="I55" s="18">
        <v>1</v>
      </c>
      <c r="J55" s="19">
        <v>11020</v>
      </c>
      <c r="K55" s="19">
        <v>2500</v>
      </c>
      <c r="L55" s="1" t="s">
        <v>62</v>
      </c>
      <c r="M55" s="17"/>
      <c r="N55" s="19">
        <f>tblKadry[[#This Row],[Wynagrodzenie_zasadnicze]]+tblKadry[[#This Row],[Dodatek_funkcyjny]]</f>
        <v>13520</v>
      </c>
      <c r="O55" s="19">
        <f>IF(OR(tblKadry[[#This Row],[Wynagrodzenie_zasadnicze]]="",tblKadry[[#This Row],[Etat]]=0),"",tblKadry[[#This Row],[Wynagrodzenie_zasadnicze]]/tblKadry[[#This Row],[Etat]])</f>
        <v>11020</v>
      </c>
      <c r="P55" s="21">
        <f>IF(AND(tblKadry[[#This Row],[Status]]="Aktywny",tblKadry[[#This Row],[Data_zatrudnienia]]&lt;=pDataRaportu),1,0)</f>
        <v>1</v>
      </c>
      <c r="Q55" s="20">
        <f>IF(tblKadry[[#This Row],[Data_zatrudnienia]]&gt;pDataRaportu,0,ROUND(YEARFRAC(tblKadry[[#This Row],[Data_zatrudnienia]],IF(tblKadry[[#This Row],[Data_zwolnienia]]="",pDataRaportu,tblKadry[[#This Row],[Data_zwolnienia]])),1))</f>
        <v>3.8</v>
      </c>
      <c r="R55" s="19">
        <f>tblKadry[[#This Row],[Brutto_mies]]*(1+pNarzut)</f>
        <v>16491.696</v>
      </c>
      <c r="S55" s="19">
        <f>_xlfn.XLOOKUP(tblKadry[[#This Row],[Grupa]],tblWidelki[Grupa],tblWidelki[Środek],"")</f>
        <v>11000</v>
      </c>
      <c r="T55" s="18">
        <f>IF(tblKadry[[#This Row],[Stawka_pełny_etat]]="","",tblKadry[[#This Row],[Stawka_pełny_etat]]/tblKadry[[#This Row],[Środek_widełek]])</f>
        <v>1.0018181818181817</v>
      </c>
      <c r="U5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5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6" spans="1:22" x14ac:dyDescent="0.3">
      <c r="A56" s="1" t="s">
        <v>87</v>
      </c>
      <c r="B56" s="1" t="s">
        <v>39</v>
      </c>
      <c r="C56" s="1" t="s">
        <v>43</v>
      </c>
      <c r="D56" s="1" t="s">
        <v>88</v>
      </c>
      <c r="E56" s="1" t="s">
        <v>30</v>
      </c>
      <c r="F56" s="1" t="s">
        <v>67</v>
      </c>
      <c r="G56" s="17">
        <v>44820</v>
      </c>
      <c r="H56" s="1" t="s">
        <v>61</v>
      </c>
      <c r="I56" s="18">
        <v>1</v>
      </c>
      <c r="J56" s="19">
        <v>10840</v>
      </c>
      <c r="K56" s="19">
        <v>2000</v>
      </c>
      <c r="L56" s="1" t="s">
        <v>62</v>
      </c>
      <c r="M56" s="17"/>
      <c r="N56" s="19">
        <f>tblKadry[[#This Row],[Wynagrodzenie_zasadnicze]]+tblKadry[[#This Row],[Dodatek_funkcyjny]]</f>
        <v>12840</v>
      </c>
      <c r="O56" s="19">
        <f>IF(OR(tblKadry[[#This Row],[Wynagrodzenie_zasadnicze]]="",tblKadry[[#This Row],[Etat]]=0),"",tblKadry[[#This Row],[Wynagrodzenie_zasadnicze]]/tblKadry[[#This Row],[Etat]])</f>
        <v>10840</v>
      </c>
      <c r="P56" s="21">
        <f>IF(AND(tblKadry[[#This Row],[Status]]="Aktywny",tblKadry[[#This Row],[Data_zatrudnienia]]&lt;=pDataRaportu),1,0)</f>
        <v>1</v>
      </c>
      <c r="Q56" s="20">
        <f>IF(tblKadry[[#This Row],[Data_zatrudnienia]]&gt;pDataRaportu,0,ROUND(YEARFRAC(tblKadry[[#This Row],[Data_zatrudnienia]],IF(tblKadry[[#This Row],[Data_zwolnienia]]="",pDataRaportu,tblKadry[[#This Row],[Data_zwolnienia]])),1))</f>
        <v>4</v>
      </c>
      <c r="R56" s="19">
        <f>tblKadry[[#This Row],[Brutto_mies]]*(1+pNarzut)</f>
        <v>15662.232</v>
      </c>
      <c r="S56" s="19">
        <f>_xlfn.XLOOKUP(tblKadry[[#This Row],[Grupa]],tblWidelki[Grupa],tblWidelki[Środek],"")</f>
        <v>11000</v>
      </c>
      <c r="T56" s="18">
        <f>IF(tblKadry[[#This Row],[Stawka_pełny_etat]]="","",tblKadry[[#This Row],[Stawka_pełny_etat]]/tblKadry[[#This Row],[Środek_widełek]])</f>
        <v>0.98545454545454547</v>
      </c>
      <c r="U5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5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7" spans="1:22" x14ac:dyDescent="0.3">
      <c r="A57" s="1" t="s">
        <v>75</v>
      </c>
      <c r="B57" s="1" t="s">
        <v>40</v>
      </c>
      <c r="C57" s="1" t="s">
        <v>47</v>
      </c>
      <c r="D57" s="1" t="s">
        <v>76</v>
      </c>
      <c r="E57" s="1" t="s">
        <v>30</v>
      </c>
      <c r="F57" s="1" t="s">
        <v>67</v>
      </c>
      <c r="G57" s="17">
        <v>45330</v>
      </c>
      <c r="H57" s="1" t="s">
        <v>61</v>
      </c>
      <c r="I57" s="18">
        <v>1</v>
      </c>
      <c r="J57" s="19">
        <v>10800</v>
      </c>
      <c r="K57" s="19">
        <v>1500</v>
      </c>
      <c r="L57" s="1" t="s">
        <v>62</v>
      </c>
      <c r="M57" s="17"/>
      <c r="N57" s="19">
        <f>tblKadry[[#This Row],[Wynagrodzenie_zasadnicze]]+tblKadry[[#This Row],[Dodatek_funkcyjny]]</f>
        <v>12300</v>
      </c>
      <c r="O57" s="19">
        <f>IF(OR(tblKadry[[#This Row],[Wynagrodzenie_zasadnicze]]="",tblKadry[[#This Row],[Etat]]=0),"",tblKadry[[#This Row],[Wynagrodzenie_zasadnicze]]/tblKadry[[#This Row],[Etat]])</f>
        <v>10800</v>
      </c>
      <c r="P57" s="21">
        <f>IF(AND(tblKadry[[#This Row],[Status]]="Aktywny",tblKadry[[#This Row],[Data_zatrudnienia]]&lt;=pDataRaportu),1,0)</f>
        <v>1</v>
      </c>
      <c r="Q57" s="20">
        <f>IF(tblKadry[[#This Row],[Data_zatrudnienia]]&gt;pDataRaportu,0,ROUND(YEARFRAC(tblKadry[[#This Row],[Data_zatrudnienia]],IF(tblKadry[[#This Row],[Data_zwolnienia]]="",pDataRaportu,tblKadry[[#This Row],[Data_zwolnienia]])),1))</f>
        <v>2.6</v>
      </c>
      <c r="R57" s="19">
        <f>tblKadry[[#This Row],[Brutto_mies]]*(1+pNarzut)</f>
        <v>15003.539999999999</v>
      </c>
      <c r="S57" s="19">
        <f>_xlfn.XLOOKUP(tblKadry[[#This Row],[Grupa]],tblWidelki[Grupa],tblWidelki[Środek],"")</f>
        <v>11000</v>
      </c>
      <c r="T57" s="18">
        <f>IF(tblKadry[[#This Row],[Stawka_pełny_etat]]="","",tblKadry[[#This Row],[Stawka_pełny_etat]]/tblKadry[[#This Row],[Środek_widełek]])</f>
        <v>0.98181818181818181</v>
      </c>
      <c r="U5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5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8" spans="1:22" x14ac:dyDescent="0.3">
      <c r="A58" s="1" t="s">
        <v>108</v>
      </c>
      <c r="B58" s="1" t="s">
        <v>38</v>
      </c>
      <c r="C58" s="1" t="s">
        <v>45</v>
      </c>
      <c r="D58" s="1" t="s">
        <v>66</v>
      </c>
      <c r="E58" s="1" t="s">
        <v>28</v>
      </c>
      <c r="F58" s="1" t="s">
        <v>67</v>
      </c>
      <c r="G58" s="17">
        <v>43945</v>
      </c>
      <c r="H58" s="1" t="s">
        <v>61</v>
      </c>
      <c r="I58" s="18">
        <v>1</v>
      </c>
      <c r="J58" s="19">
        <v>10610</v>
      </c>
      <c r="K58" s="19">
        <v>0</v>
      </c>
      <c r="L58" s="1" t="s">
        <v>62</v>
      </c>
      <c r="M58" s="17"/>
      <c r="N58" s="19">
        <f>tblKadry[[#This Row],[Wynagrodzenie_zasadnicze]]+tblKadry[[#This Row],[Dodatek_funkcyjny]]</f>
        <v>10610</v>
      </c>
      <c r="O58" s="19">
        <f>IF(OR(tblKadry[[#This Row],[Wynagrodzenie_zasadnicze]]="",tblKadry[[#This Row],[Etat]]=0),"",tblKadry[[#This Row],[Wynagrodzenie_zasadnicze]]/tblKadry[[#This Row],[Etat]])</f>
        <v>10610</v>
      </c>
      <c r="P58" s="21">
        <f>IF(AND(tblKadry[[#This Row],[Status]]="Aktywny",tblKadry[[#This Row],[Data_zatrudnienia]]&lt;=pDataRaportu),1,0)</f>
        <v>1</v>
      </c>
      <c r="Q58" s="20">
        <f>IF(tblKadry[[#This Row],[Data_zatrudnienia]]&gt;pDataRaportu,0,ROUND(YEARFRAC(tblKadry[[#This Row],[Data_zatrudnienia]],IF(tblKadry[[#This Row],[Data_zwolnienia]]="",pDataRaportu,tblKadry[[#This Row],[Data_zwolnienia]])),1))</f>
        <v>6.4</v>
      </c>
      <c r="R58" s="19">
        <f>tblKadry[[#This Row],[Brutto_mies]]*(1+pNarzut)</f>
        <v>12942.078</v>
      </c>
      <c r="S58" s="19">
        <f>_xlfn.XLOOKUP(tblKadry[[#This Row],[Grupa]],tblWidelki[Grupa],tblWidelki[Środek],"")</f>
        <v>8500</v>
      </c>
      <c r="T58" s="18">
        <f>IF(tblKadry[[#This Row],[Stawka_pełny_etat]]="","",tblKadry[[#This Row],[Stawka_pełny_etat]]/tblKadry[[#This Row],[Środek_widełek]])</f>
        <v>1.2482352941176471</v>
      </c>
      <c r="U5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5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59" spans="1:22" x14ac:dyDescent="0.3">
      <c r="A59" s="1" t="s">
        <v>170</v>
      </c>
      <c r="B59" s="1" t="s">
        <v>38</v>
      </c>
      <c r="C59" s="1" t="s">
        <v>46</v>
      </c>
      <c r="D59" s="1" t="s">
        <v>64</v>
      </c>
      <c r="E59" s="1" t="s">
        <v>28</v>
      </c>
      <c r="F59" s="1" t="s">
        <v>67</v>
      </c>
      <c r="G59" s="17">
        <v>41652</v>
      </c>
      <c r="H59" s="1" t="s">
        <v>61</v>
      </c>
      <c r="I59" s="18">
        <v>0.75</v>
      </c>
      <c r="J59" s="19">
        <v>7935</v>
      </c>
      <c r="K59" s="19">
        <v>0</v>
      </c>
      <c r="L59" s="1" t="s">
        <v>62</v>
      </c>
      <c r="M59" s="17"/>
      <c r="N59" s="19">
        <f>tblKadry[[#This Row],[Wynagrodzenie_zasadnicze]]+tblKadry[[#This Row],[Dodatek_funkcyjny]]</f>
        <v>7935</v>
      </c>
      <c r="O59" s="19">
        <f>IF(OR(tblKadry[[#This Row],[Wynagrodzenie_zasadnicze]]="",tblKadry[[#This Row],[Etat]]=0),"",tblKadry[[#This Row],[Wynagrodzenie_zasadnicze]]/tblKadry[[#This Row],[Etat]])</f>
        <v>10580</v>
      </c>
      <c r="P59" s="21">
        <f>IF(AND(tblKadry[[#This Row],[Status]]="Aktywny",tblKadry[[#This Row],[Data_zatrudnienia]]&lt;=pDataRaportu),1,0)</f>
        <v>1</v>
      </c>
      <c r="Q59" s="20">
        <f>IF(tblKadry[[#This Row],[Data_zatrudnienia]]&gt;pDataRaportu,0,ROUND(YEARFRAC(tblKadry[[#This Row],[Data_zatrudnienia]],IF(tblKadry[[#This Row],[Data_zwolnienia]]="",pDataRaportu,tblKadry[[#This Row],[Data_zwolnienia]])),1))</f>
        <v>12.7</v>
      </c>
      <c r="R59" s="19">
        <f>tblKadry[[#This Row],[Brutto_mies]]*(1+pNarzut)</f>
        <v>9679.1129999999994</v>
      </c>
      <c r="S59" s="19">
        <f>_xlfn.XLOOKUP(tblKadry[[#This Row],[Grupa]],tblWidelki[Grupa],tblWidelki[Środek],"")</f>
        <v>8500</v>
      </c>
      <c r="T59" s="18">
        <f>IF(tblKadry[[#This Row],[Stawka_pełny_etat]]="","",tblKadry[[#This Row],[Stawka_pełny_etat]]/tblKadry[[#This Row],[Środek_widełek]])</f>
        <v>1.2447058823529411</v>
      </c>
      <c r="U5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5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0" spans="1:22" x14ac:dyDescent="0.3">
      <c r="A60" s="1" t="s">
        <v>246</v>
      </c>
      <c r="B60" s="1" t="s">
        <v>41</v>
      </c>
      <c r="C60" s="1" t="s">
        <v>46</v>
      </c>
      <c r="D60" s="1" t="s">
        <v>101</v>
      </c>
      <c r="E60" s="1" t="s">
        <v>30</v>
      </c>
      <c r="F60" s="1" t="s">
        <v>67</v>
      </c>
      <c r="G60" s="17">
        <v>43763</v>
      </c>
      <c r="H60" s="1" t="s">
        <v>61</v>
      </c>
      <c r="I60" s="18">
        <v>1</v>
      </c>
      <c r="J60" s="19">
        <v>10470</v>
      </c>
      <c r="K60" s="19">
        <v>1500</v>
      </c>
      <c r="L60" s="1" t="s">
        <v>62</v>
      </c>
      <c r="M60" s="17"/>
      <c r="N60" s="19">
        <f>tblKadry[[#This Row],[Wynagrodzenie_zasadnicze]]+tblKadry[[#This Row],[Dodatek_funkcyjny]]</f>
        <v>11970</v>
      </c>
      <c r="O60" s="19">
        <f>IF(OR(tblKadry[[#This Row],[Wynagrodzenie_zasadnicze]]="",tblKadry[[#This Row],[Etat]]=0),"",tblKadry[[#This Row],[Wynagrodzenie_zasadnicze]]/tblKadry[[#This Row],[Etat]])</f>
        <v>10470</v>
      </c>
      <c r="P60" s="21">
        <f>IF(AND(tblKadry[[#This Row],[Status]]="Aktywny",tblKadry[[#This Row],[Data_zatrudnienia]]&lt;=pDataRaportu),1,0)</f>
        <v>1</v>
      </c>
      <c r="Q60" s="20">
        <f>IF(tblKadry[[#This Row],[Data_zatrudnienia]]&gt;pDataRaportu,0,ROUND(YEARFRAC(tblKadry[[#This Row],[Data_zatrudnienia]],IF(tblKadry[[#This Row],[Data_zwolnienia]]="",pDataRaportu,tblKadry[[#This Row],[Data_zwolnienia]])),1))</f>
        <v>6.9</v>
      </c>
      <c r="R60" s="19">
        <f>tblKadry[[#This Row],[Brutto_mies]]*(1+pNarzut)</f>
        <v>14601.005999999999</v>
      </c>
      <c r="S60" s="19">
        <f>_xlfn.XLOOKUP(tblKadry[[#This Row],[Grupa]],tblWidelki[Grupa],tblWidelki[Środek],"")</f>
        <v>11000</v>
      </c>
      <c r="T60" s="18">
        <f>IF(tblKadry[[#This Row],[Stawka_pełny_etat]]="","",tblKadry[[#This Row],[Stawka_pełny_etat]]/tblKadry[[#This Row],[Środek_widełek]])</f>
        <v>0.95181818181818179</v>
      </c>
      <c r="U6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1" spans="1:22" x14ac:dyDescent="0.3">
      <c r="A61" s="1" t="s">
        <v>89</v>
      </c>
      <c r="B61" s="1" t="s">
        <v>40</v>
      </c>
      <c r="C61" s="1" t="s">
        <v>43</v>
      </c>
      <c r="D61" s="1" t="s">
        <v>66</v>
      </c>
      <c r="E61" s="1" t="s">
        <v>28</v>
      </c>
      <c r="F61" s="1" t="s">
        <v>67</v>
      </c>
      <c r="G61" s="17">
        <v>46256</v>
      </c>
      <c r="H61" s="1" t="s">
        <v>61</v>
      </c>
      <c r="I61" s="18">
        <v>1</v>
      </c>
      <c r="J61" s="19">
        <v>10340</v>
      </c>
      <c r="K61" s="19">
        <v>0</v>
      </c>
      <c r="L61" s="1" t="s">
        <v>62</v>
      </c>
      <c r="M61" s="17"/>
      <c r="N61" s="19">
        <f>tblKadry[[#This Row],[Wynagrodzenie_zasadnicze]]+tblKadry[[#This Row],[Dodatek_funkcyjny]]</f>
        <v>10340</v>
      </c>
      <c r="O61" s="19">
        <f>IF(OR(tblKadry[[#This Row],[Wynagrodzenie_zasadnicze]]="",tblKadry[[#This Row],[Etat]]=0),"",tblKadry[[#This Row],[Wynagrodzenie_zasadnicze]]/tblKadry[[#This Row],[Etat]])</f>
        <v>10340</v>
      </c>
      <c r="P61" s="21">
        <f>IF(AND(tblKadry[[#This Row],[Status]]="Aktywny",tblKadry[[#This Row],[Data_zatrudnienia]]&lt;=pDataRaportu),1,0)</f>
        <v>1</v>
      </c>
      <c r="Q61" s="20">
        <f>IF(tblKadry[[#This Row],[Data_zatrudnienia]]&gt;pDataRaportu,0,ROUND(YEARFRAC(tblKadry[[#This Row],[Data_zatrudnienia]],IF(tblKadry[[#This Row],[Data_zwolnienia]]="",pDataRaportu,tblKadry[[#This Row],[Data_zwolnienia]])),1))</f>
        <v>0.1</v>
      </c>
      <c r="R61" s="19">
        <f>tblKadry[[#This Row],[Brutto_mies]]*(1+pNarzut)</f>
        <v>12612.732</v>
      </c>
      <c r="S61" s="19">
        <f>_xlfn.XLOOKUP(tblKadry[[#This Row],[Grupa]],tblWidelki[Grupa],tblWidelki[Środek],"")</f>
        <v>8500</v>
      </c>
      <c r="T61" s="18">
        <f>IF(tblKadry[[#This Row],[Stawka_pełny_etat]]="","",tblKadry[[#This Row],[Stawka_pełny_etat]]/tblKadry[[#This Row],[Środek_widełek]])</f>
        <v>1.2164705882352942</v>
      </c>
      <c r="U6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6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2" spans="1:22" x14ac:dyDescent="0.3">
      <c r="A62" s="1" t="s">
        <v>247</v>
      </c>
      <c r="B62" s="1" t="s">
        <v>41</v>
      </c>
      <c r="C62" s="1" t="s">
        <v>47</v>
      </c>
      <c r="D62" s="1" t="s">
        <v>76</v>
      </c>
      <c r="E62" s="1" t="s">
        <v>30</v>
      </c>
      <c r="F62" s="1" t="s">
        <v>60</v>
      </c>
      <c r="G62" s="17">
        <v>43967</v>
      </c>
      <c r="H62" s="1" t="s">
        <v>61</v>
      </c>
      <c r="I62" s="18">
        <v>1</v>
      </c>
      <c r="J62" s="19">
        <v>10270</v>
      </c>
      <c r="K62" s="19">
        <v>2500</v>
      </c>
      <c r="L62" s="1" t="s">
        <v>62</v>
      </c>
      <c r="M62" s="17"/>
      <c r="N62" s="19">
        <f>tblKadry[[#This Row],[Wynagrodzenie_zasadnicze]]+tblKadry[[#This Row],[Dodatek_funkcyjny]]</f>
        <v>12770</v>
      </c>
      <c r="O62" s="19">
        <f>IF(OR(tblKadry[[#This Row],[Wynagrodzenie_zasadnicze]]="",tblKadry[[#This Row],[Etat]]=0),"",tblKadry[[#This Row],[Wynagrodzenie_zasadnicze]]/tblKadry[[#This Row],[Etat]])</f>
        <v>10270</v>
      </c>
      <c r="P62" s="21">
        <f>IF(AND(tblKadry[[#This Row],[Status]]="Aktywny",tblKadry[[#This Row],[Data_zatrudnienia]]&lt;=pDataRaportu),1,0)</f>
        <v>1</v>
      </c>
      <c r="Q62" s="20">
        <f>IF(tblKadry[[#This Row],[Data_zatrudnienia]]&gt;pDataRaportu,0,ROUND(YEARFRAC(tblKadry[[#This Row],[Data_zatrudnienia]],IF(tblKadry[[#This Row],[Data_zwolnienia]]="",pDataRaportu,tblKadry[[#This Row],[Data_zwolnienia]])),1))</f>
        <v>6.4</v>
      </c>
      <c r="R62" s="19">
        <f>tblKadry[[#This Row],[Brutto_mies]]*(1+pNarzut)</f>
        <v>15576.846</v>
      </c>
      <c r="S62" s="19">
        <f>_xlfn.XLOOKUP(tblKadry[[#This Row],[Grupa]],tblWidelki[Grupa],tblWidelki[Środek],"")</f>
        <v>11000</v>
      </c>
      <c r="T62" s="18">
        <f>IF(tblKadry[[#This Row],[Stawka_pełny_etat]]="","",tblKadry[[#This Row],[Stawka_pełny_etat]]/tblKadry[[#This Row],[Środek_widełek]])</f>
        <v>0.9336363636363636</v>
      </c>
      <c r="U6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3" spans="1:22" x14ac:dyDescent="0.3">
      <c r="A63" s="1" t="s">
        <v>139</v>
      </c>
      <c r="B63" s="1" t="s">
        <v>38</v>
      </c>
      <c r="C63" s="1" t="s">
        <v>47</v>
      </c>
      <c r="D63" s="1" t="s">
        <v>76</v>
      </c>
      <c r="E63" s="1" t="s">
        <v>30</v>
      </c>
      <c r="F63" s="1" t="s">
        <v>67</v>
      </c>
      <c r="G63" s="17">
        <v>45665</v>
      </c>
      <c r="H63" s="1" t="s">
        <v>68</v>
      </c>
      <c r="I63" s="18">
        <v>1</v>
      </c>
      <c r="J63" s="19">
        <v>10150</v>
      </c>
      <c r="K63" s="19">
        <v>2500</v>
      </c>
      <c r="L63" s="1" t="s">
        <v>62</v>
      </c>
      <c r="M63" s="17"/>
      <c r="N63" s="19">
        <f>tblKadry[[#This Row],[Wynagrodzenie_zasadnicze]]+tblKadry[[#This Row],[Dodatek_funkcyjny]]</f>
        <v>12650</v>
      </c>
      <c r="O63" s="19">
        <f>IF(OR(tblKadry[[#This Row],[Wynagrodzenie_zasadnicze]]="",tblKadry[[#This Row],[Etat]]=0),"",tblKadry[[#This Row],[Wynagrodzenie_zasadnicze]]/tblKadry[[#This Row],[Etat]])</f>
        <v>10150</v>
      </c>
      <c r="P63" s="21">
        <f>IF(AND(tblKadry[[#This Row],[Status]]="Aktywny",tblKadry[[#This Row],[Data_zatrudnienia]]&lt;=pDataRaportu),1,0)</f>
        <v>1</v>
      </c>
      <c r="Q63" s="20">
        <f>IF(tblKadry[[#This Row],[Data_zatrudnienia]]&gt;pDataRaportu,0,ROUND(YEARFRAC(tblKadry[[#This Row],[Data_zatrudnienia]],IF(tblKadry[[#This Row],[Data_zwolnienia]]="",pDataRaportu,tblKadry[[#This Row],[Data_zwolnienia]])),1))</f>
        <v>1.7</v>
      </c>
      <c r="R63" s="19">
        <f>tblKadry[[#This Row],[Brutto_mies]]*(1+pNarzut)</f>
        <v>15430.47</v>
      </c>
      <c r="S63" s="19">
        <f>_xlfn.XLOOKUP(tblKadry[[#This Row],[Grupa]],tblWidelki[Grupa],tblWidelki[Środek],"")</f>
        <v>11000</v>
      </c>
      <c r="T63" s="18">
        <f>IF(tblKadry[[#This Row],[Stawka_pełny_etat]]="","",tblKadry[[#This Row],[Stawka_pełny_etat]]/tblKadry[[#This Row],[Środek_widełek]])</f>
        <v>0.92272727272727273</v>
      </c>
      <c r="U6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4" spans="1:22" x14ac:dyDescent="0.3">
      <c r="A64" s="1" t="s">
        <v>243</v>
      </c>
      <c r="B64" s="1" t="s">
        <v>40</v>
      </c>
      <c r="C64" s="1" t="s">
        <v>43</v>
      </c>
      <c r="D64" s="1" t="s">
        <v>88</v>
      </c>
      <c r="E64" s="1" t="s">
        <v>30</v>
      </c>
      <c r="F64" s="1" t="s">
        <v>67</v>
      </c>
      <c r="G64" s="17">
        <v>44235</v>
      </c>
      <c r="H64" s="1" t="s">
        <v>61</v>
      </c>
      <c r="I64" s="18">
        <v>1</v>
      </c>
      <c r="J64" s="19">
        <v>10120</v>
      </c>
      <c r="K64" s="19">
        <v>2500</v>
      </c>
      <c r="L64" s="1" t="s">
        <v>62</v>
      </c>
      <c r="M64" s="17"/>
      <c r="N64" s="19">
        <f>tblKadry[[#This Row],[Wynagrodzenie_zasadnicze]]+tblKadry[[#This Row],[Dodatek_funkcyjny]]</f>
        <v>12620</v>
      </c>
      <c r="O64" s="19">
        <f>IF(OR(tblKadry[[#This Row],[Wynagrodzenie_zasadnicze]]="",tblKadry[[#This Row],[Etat]]=0),"",tblKadry[[#This Row],[Wynagrodzenie_zasadnicze]]/tblKadry[[#This Row],[Etat]])</f>
        <v>10120</v>
      </c>
      <c r="P64" s="21">
        <f>IF(AND(tblKadry[[#This Row],[Status]]="Aktywny",tblKadry[[#This Row],[Data_zatrudnienia]]&lt;=pDataRaportu),1,0)</f>
        <v>1</v>
      </c>
      <c r="Q64" s="20">
        <f>IF(tblKadry[[#This Row],[Data_zatrudnienia]]&gt;pDataRaportu,0,ROUND(YEARFRAC(tblKadry[[#This Row],[Data_zatrudnienia]],IF(tblKadry[[#This Row],[Data_zwolnienia]]="",pDataRaportu,tblKadry[[#This Row],[Data_zwolnienia]])),1))</f>
        <v>5.6</v>
      </c>
      <c r="R64" s="19">
        <f>tblKadry[[#This Row],[Brutto_mies]]*(1+pNarzut)</f>
        <v>15393.876</v>
      </c>
      <c r="S64" s="19">
        <f>_xlfn.XLOOKUP(tblKadry[[#This Row],[Grupa]],tblWidelki[Grupa],tblWidelki[Środek],"")</f>
        <v>11000</v>
      </c>
      <c r="T64" s="18">
        <f>IF(tblKadry[[#This Row],[Stawka_pełny_etat]]="","",tblKadry[[#This Row],[Stawka_pełny_etat]]/tblKadry[[#This Row],[Środek_widełek]])</f>
        <v>0.92</v>
      </c>
      <c r="U6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5" spans="1:22" x14ac:dyDescent="0.3">
      <c r="A65" s="1" t="s">
        <v>174</v>
      </c>
      <c r="B65" s="1" t="s">
        <v>38</v>
      </c>
      <c r="C65" s="1" t="s">
        <v>43</v>
      </c>
      <c r="D65" s="1" t="s">
        <v>88</v>
      </c>
      <c r="E65" s="1" t="s">
        <v>30</v>
      </c>
      <c r="F65" s="1" t="s">
        <v>67</v>
      </c>
      <c r="G65" s="17">
        <v>43177</v>
      </c>
      <c r="H65" s="1" t="s">
        <v>61</v>
      </c>
      <c r="I65" s="18">
        <v>1</v>
      </c>
      <c r="J65" s="19">
        <v>10110</v>
      </c>
      <c r="K65" s="19">
        <v>1000</v>
      </c>
      <c r="L65" s="1" t="s">
        <v>83</v>
      </c>
      <c r="M65" s="17"/>
      <c r="N65" s="19">
        <f>tblKadry[[#This Row],[Wynagrodzenie_zasadnicze]]+tblKadry[[#This Row],[Dodatek_funkcyjny]]</f>
        <v>11110</v>
      </c>
      <c r="O65" s="19">
        <f>IF(OR(tblKadry[[#This Row],[Wynagrodzenie_zasadnicze]]="",tblKadry[[#This Row],[Etat]]=0),"",tblKadry[[#This Row],[Wynagrodzenie_zasadnicze]]/tblKadry[[#This Row],[Etat]])</f>
        <v>10110</v>
      </c>
      <c r="P65" s="21">
        <f>IF(AND(tblKadry[[#This Row],[Status]]="Aktywny",tblKadry[[#This Row],[Data_zatrudnienia]]&lt;=pDataRaportu),1,0)</f>
        <v>0</v>
      </c>
      <c r="Q65" s="20">
        <f>IF(tblKadry[[#This Row],[Data_zatrudnienia]]&gt;pDataRaportu,0,ROUND(YEARFRAC(tblKadry[[#This Row],[Data_zatrudnienia]],IF(tblKadry[[#This Row],[Data_zwolnienia]]="",pDataRaportu,tblKadry[[#This Row],[Data_zwolnienia]])),1))</f>
        <v>8.5</v>
      </c>
      <c r="R65" s="19">
        <f>tblKadry[[#This Row],[Brutto_mies]]*(1+pNarzut)</f>
        <v>13551.977999999999</v>
      </c>
      <c r="S65" s="19">
        <f>_xlfn.XLOOKUP(tblKadry[[#This Row],[Grupa]],tblWidelki[Grupa],tblWidelki[Środek],"")</f>
        <v>11000</v>
      </c>
      <c r="T65" s="18">
        <f>IF(tblKadry[[#This Row],[Stawka_pełny_etat]]="","",tblKadry[[#This Row],[Stawka_pełny_etat]]/tblKadry[[#This Row],[Środek_widełek]])</f>
        <v>0.91909090909090907</v>
      </c>
      <c r="U6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Brak daty zwolnienia</v>
      </c>
    </row>
    <row r="66" spans="1:22" x14ac:dyDescent="0.3">
      <c r="A66" s="1" t="s">
        <v>124</v>
      </c>
      <c r="B66" s="1" t="s">
        <v>41</v>
      </c>
      <c r="C66" s="1" t="s">
        <v>44</v>
      </c>
      <c r="D66" s="1" t="s">
        <v>125</v>
      </c>
      <c r="E66" s="1" t="s">
        <v>30</v>
      </c>
      <c r="F66" s="1" t="s">
        <v>67</v>
      </c>
      <c r="G66" s="17">
        <v>46247</v>
      </c>
      <c r="H66" s="1" t="s">
        <v>61</v>
      </c>
      <c r="I66" s="18">
        <v>1</v>
      </c>
      <c r="J66" s="19">
        <v>10050</v>
      </c>
      <c r="K66" s="19">
        <v>0</v>
      </c>
      <c r="L66" s="1" t="s">
        <v>62</v>
      </c>
      <c r="M66" s="17"/>
      <c r="N66" s="19">
        <f>tblKadry[[#This Row],[Wynagrodzenie_zasadnicze]]+tblKadry[[#This Row],[Dodatek_funkcyjny]]</f>
        <v>10050</v>
      </c>
      <c r="O66" s="19">
        <f>IF(OR(tblKadry[[#This Row],[Wynagrodzenie_zasadnicze]]="",tblKadry[[#This Row],[Etat]]=0),"",tblKadry[[#This Row],[Wynagrodzenie_zasadnicze]]/tblKadry[[#This Row],[Etat]])</f>
        <v>10050</v>
      </c>
      <c r="P66" s="21">
        <f>IF(AND(tblKadry[[#This Row],[Status]]="Aktywny",tblKadry[[#This Row],[Data_zatrudnienia]]&lt;=pDataRaportu),1,0)</f>
        <v>1</v>
      </c>
      <c r="Q66" s="20">
        <f>IF(tblKadry[[#This Row],[Data_zatrudnienia]]&gt;pDataRaportu,0,ROUND(YEARFRAC(tblKadry[[#This Row],[Data_zatrudnienia]],IF(tblKadry[[#This Row],[Data_zwolnienia]]="",pDataRaportu,tblKadry[[#This Row],[Data_zwolnienia]])),1))</f>
        <v>0.1</v>
      </c>
      <c r="R66" s="19">
        <f>tblKadry[[#This Row],[Brutto_mies]]*(1+pNarzut)</f>
        <v>12258.99</v>
      </c>
      <c r="S66" s="19">
        <f>_xlfn.XLOOKUP(tblKadry[[#This Row],[Grupa]],tblWidelki[Grupa],tblWidelki[Środek],"")</f>
        <v>11000</v>
      </c>
      <c r="T66" s="18">
        <f>IF(tblKadry[[#This Row],[Stawka_pełny_etat]]="","",tblKadry[[#This Row],[Stawka_pełny_etat]]/tblKadry[[#This Row],[Środek_widełek]])</f>
        <v>0.91363636363636369</v>
      </c>
      <c r="U6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7" spans="1:22" x14ac:dyDescent="0.3">
      <c r="A67" s="1" t="s">
        <v>261</v>
      </c>
      <c r="B67" s="1" t="s">
        <v>39</v>
      </c>
      <c r="C67" s="1" t="s">
        <v>44</v>
      </c>
      <c r="D67" s="1" t="s">
        <v>125</v>
      </c>
      <c r="E67" s="1" t="s">
        <v>30</v>
      </c>
      <c r="F67" s="1" t="s">
        <v>60</v>
      </c>
      <c r="G67" s="17">
        <v>45734</v>
      </c>
      <c r="H67" s="1" t="s">
        <v>61</v>
      </c>
      <c r="I67" s="18">
        <v>1</v>
      </c>
      <c r="J67" s="19">
        <v>9920</v>
      </c>
      <c r="K67" s="19">
        <v>0</v>
      </c>
      <c r="L67" s="1" t="s">
        <v>62</v>
      </c>
      <c r="M67" s="17"/>
      <c r="N67" s="19">
        <f>tblKadry[[#This Row],[Wynagrodzenie_zasadnicze]]+tblKadry[[#This Row],[Dodatek_funkcyjny]]</f>
        <v>9920</v>
      </c>
      <c r="O67" s="19">
        <f>IF(OR(tblKadry[[#This Row],[Wynagrodzenie_zasadnicze]]="",tblKadry[[#This Row],[Etat]]=0),"",tblKadry[[#This Row],[Wynagrodzenie_zasadnicze]]/tblKadry[[#This Row],[Etat]])</f>
        <v>9920</v>
      </c>
      <c r="P67" s="21">
        <f>IF(AND(tblKadry[[#This Row],[Status]]="Aktywny",tblKadry[[#This Row],[Data_zatrudnienia]]&lt;=pDataRaportu),1,0)</f>
        <v>1</v>
      </c>
      <c r="Q67" s="20">
        <f>IF(tblKadry[[#This Row],[Data_zatrudnienia]]&gt;pDataRaportu,0,ROUND(YEARFRAC(tblKadry[[#This Row],[Data_zatrudnienia]],IF(tblKadry[[#This Row],[Data_zwolnienia]]="",pDataRaportu,tblKadry[[#This Row],[Data_zwolnienia]])),1))</f>
        <v>1.5</v>
      </c>
      <c r="R67" s="19">
        <f>tblKadry[[#This Row],[Brutto_mies]]*(1+pNarzut)</f>
        <v>12100.415999999999</v>
      </c>
      <c r="S67" s="19">
        <f>_xlfn.XLOOKUP(tblKadry[[#This Row],[Grupa]],tblWidelki[Grupa],tblWidelki[Środek],"")</f>
        <v>11000</v>
      </c>
      <c r="T67" s="18">
        <f>IF(tblKadry[[#This Row],[Stawka_pełny_etat]]="","",tblKadry[[#This Row],[Stawka_pełny_etat]]/tblKadry[[#This Row],[Środek_widełek]])</f>
        <v>0.90181818181818185</v>
      </c>
      <c r="U6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8" spans="1:22" x14ac:dyDescent="0.3">
      <c r="A68" s="1" t="s">
        <v>65</v>
      </c>
      <c r="B68" s="1" t="s">
        <v>41</v>
      </c>
      <c r="C68" s="1" t="s">
        <v>45</v>
      </c>
      <c r="D68" s="1" t="s">
        <v>66</v>
      </c>
      <c r="E68" s="1" t="s">
        <v>28</v>
      </c>
      <c r="F68" s="1" t="s">
        <v>67</v>
      </c>
      <c r="G68" s="17">
        <v>39930</v>
      </c>
      <c r="H68" s="1" t="s">
        <v>61</v>
      </c>
      <c r="I68" s="18">
        <v>1</v>
      </c>
      <c r="J68" s="19">
        <v>9840</v>
      </c>
      <c r="K68" s="19">
        <v>0</v>
      </c>
      <c r="L68" s="1" t="s">
        <v>62</v>
      </c>
      <c r="M68" s="17"/>
      <c r="N68" s="19">
        <f>tblKadry[[#This Row],[Wynagrodzenie_zasadnicze]]+tblKadry[[#This Row],[Dodatek_funkcyjny]]</f>
        <v>9840</v>
      </c>
      <c r="O68" s="19">
        <f>IF(OR(tblKadry[[#This Row],[Wynagrodzenie_zasadnicze]]="",tblKadry[[#This Row],[Etat]]=0),"",tblKadry[[#This Row],[Wynagrodzenie_zasadnicze]]/tblKadry[[#This Row],[Etat]])</f>
        <v>9840</v>
      </c>
      <c r="P68" s="21">
        <f>IF(AND(tblKadry[[#This Row],[Status]]="Aktywny",tblKadry[[#This Row],[Data_zatrudnienia]]&lt;=pDataRaportu),1,0)</f>
        <v>1</v>
      </c>
      <c r="Q68" s="20">
        <f>IF(tblKadry[[#This Row],[Data_zatrudnienia]]&gt;pDataRaportu,0,ROUND(YEARFRAC(tblKadry[[#This Row],[Data_zatrudnienia]],IF(tblKadry[[#This Row],[Data_zwolnienia]]="",pDataRaportu,tblKadry[[#This Row],[Data_zwolnienia]])),1))</f>
        <v>17.399999999999999</v>
      </c>
      <c r="R68" s="19">
        <f>tblKadry[[#This Row],[Brutto_mies]]*(1+pNarzut)</f>
        <v>12002.832</v>
      </c>
      <c r="S68" s="19">
        <f>_xlfn.XLOOKUP(tblKadry[[#This Row],[Grupa]],tblWidelki[Grupa],tblWidelki[Środek],"")</f>
        <v>8500</v>
      </c>
      <c r="T68" s="18">
        <f>IF(tblKadry[[#This Row],[Stawka_pełny_etat]]="","",tblKadry[[#This Row],[Stawka_pełny_etat]]/tblKadry[[#This Row],[Środek_widełek]])</f>
        <v>1.1576470588235295</v>
      </c>
      <c r="U6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69" spans="1:22" x14ac:dyDescent="0.3">
      <c r="A69" s="1" t="s">
        <v>223</v>
      </c>
      <c r="B69" s="1" t="s">
        <v>38</v>
      </c>
      <c r="C69" s="1" t="s">
        <v>43</v>
      </c>
      <c r="D69" s="1" t="s">
        <v>66</v>
      </c>
      <c r="E69" s="1" t="s">
        <v>28</v>
      </c>
      <c r="F69" s="1" t="s">
        <v>67</v>
      </c>
      <c r="G69" s="17">
        <v>40335</v>
      </c>
      <c r="H69" s="1" t="s">
        <v>61</v>
      </c>
      <c r="I69" s="18">
        <v>1</v>
      </c>
      <c r="J69" s="19">
        <v>9760</v>
      </c>
      <c r="K69" s="19">
        <v>0</v>
      </c>
      <c r="L69" s="1" t="s">
        <v>62</v>
      </c>
      <c r="M69" s="17"/>
      <c r="N69" s="19">
        <f>tblKadry[[#This Row],[Wynagrodzenie_zasadnicze]]+tblKadry[[#This Row],[Dodatek_funkcyjny]]</f>
        <v>9760</v>
      </c>
      <c r="O69" s="19">
        <f>IF(OR(tblKadry[[#This Row],[Wynagrodzenie_zasadnicze]]="",tblKadry[[#This Row],[Etat]]=0),"",tblKadry[[#This Row],[Wynagrodzenie_zasadnicze]]/tblKadry[[#This Row],[Etat]])</f>
        <v>9760</v>
      </c>
      <c r="P69" s="21">
        <f>IF(AND(tblKadry[[#This Row],[Status]]="Aktywny",tblKadry[[#This Row],[Data_zatrudnienia]]&lt;=pDataRaportu),1,0)</f>
        <v>1</v>
      </c>
      <c r="Q69" s="20">
        <f>IF(tblKadry[[#This Row],[Data_zatrudnienia]]&gt;pDataRaportu,0,ROUND(YEARFRAC(tblKadry[[#This Row],[Data_zatrudnienia]],IF(tblKadry[[#This Row],[Data_zwolnienia]]="",pDataRaportu,tblKadry[[#This Row],[Data_zwolnienia]])),1))</f>
        <v>16.3</v>
      </c>
      <c r="R69" s="19">
        <f>tblKadry[[#This Row],[Brutto_mies]]*(1+pNarzut)</f>
        <v>11905.248</v>
      </c>
      <c r="S69" s="19">
        <f>_xlfn.XLOOKUP(tblKadry[[#This Row],[Grupa]],tblWidelki[Grupa],tblWidelki[Środek],"")</f>
        <v>8500</v>
      </c>
      <c r="T69" s="18">
        <f>IF(tblKadry[[#This Row],[Stawka_pełny_etat]]="","",tblKadry[[#This Row],[Stawka_pełny_etat]]/tblKadry[[#This Row],[Środek_widełek]])</f>
        <v>1.148235294117647</v>
      </c>
      <c r="U6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6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0" spans="1:22" x14ac:dyDescent="0.3">
      <c r="A70" s="1" t="s">
        <v>250</v>
      </c>
      <c r="B70" s="1" t="s">
        <v>38</v>
      </c>
      <c r="C70" s="1" t="s">
        <v>47</v>
      </c>
      <c r="D70" s="1" t="s">
        <v>94</v>
      </c>
      <c r="E70" s="1" t="s">
        <v>28</v>
      </c>
      <c r="F70" s="1" t="s">
        <v>67</v>
      </c>
      <c r="G70" s="17">
        <v>40865</v>
      </c>
      <c r="H70" s="1" t="s">
        <v>61</v>
      </c>
      <c r="I70" s="18">
        <v>1</v>
      </c>
      <c r="J70" s="19">
        <v>9730</v>
      </c>
      <c r="K70" s="19">
        <v>0</v>
      </c>
      <c r="L70" s="1" t="s">
        <v>62</v>
      </c>
      <c r="M70" s="17"/>
      <c r="N70" s="19">
        <f>tblKadry[[#This Row],[Wynagrodzenie_zasadnicze]]+tblKadry[[#This Row],[Dodatek_funkcyjny]]</f>
        <v>9730</v>
      </c>
      <c r="O70" s="19">
        <f>IF(OR(tblKadry[[#This Row],[Wynagrodzenie_zasadnicze]]="",tblKadry[[#This Row],[Etat]]=0),"",tblKadry[[#This Row],[Wynagrodzenie_zasadnicze]]/tblKadry[[#This Row],[Etat]])</f>
        <v>9730</v>
      </c>
      <c r="P70" s="21">
        <f>IF(AND(tblKadry[[#This Row],[Status]]="Aktywny",tblKadry[[#This Row],[Data_zatrudnienia]]&lt;=pDataRaportu),1,0)</f>
        <v>1</v>
      </c>
      <c r="Q70" s="20">
        <f>IF(tblKadry[[#This Row],[Data_zatrudnienia]]&gt;pDataRaportu,0,ROUND(YEARFRAC(tblKadry[[#This Row],[Data_zatrudnienia]],IF(tblKadry[[#This Row],[Data_zwolnienia]]="",pDataRaportu,tblKadry[[#This Row],[Data_zwolnienia]])),1))</f>
        <v>14.9</v>
      </c>
      <c r="R70" s="19">
        <f>tblKadry[[#This Row],[Brutto_mies]]*(1+pNarzut)</f>
        <v>11868.654</v>
      </c>
      <c r="S70" s="19">
        <f>_xlfn.XLOOKUP(tblKadry[[#This Row],[Grupa]],tblWidelki[Grupa],tblWidelki[Środek],"")</f>
        <v>8500</v>
      </c>
      <c r="T70" s="18">
        <f>IF(tblKadry[[#This Row],[Stawka_pełny_etat]]="","",tblKadry[[#This Row],[Stawka_pełny_etat]]/tblKadry[[#This Row],[Środek_widełek]])</f>
        <v>1.1447058823529412</v>
      </c>
      <c r="U7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1" spans="1:22" x14ac:dyDescent="0.3">
      <c r="A71" s="1" t="s">
        <v>255</v>
      </c>
      <c r="B71" s="1" t="s">
        <v>41</v>
      </c>
      <c r="C71" s="1" t="s">
        <v>45</v>
      </c>
      <c r="D71" s="1" t="s">
        <v>66</v>
      </c>
      <c r="E71" s="1" t="s">
        <v>28</v>
      </c>
      <c r="F71" s="1" t="s">
        <v>67</v>
      </c>
      <c r="G71" s="17">
        <v>40703</v>
      </c>
      <c r="H71" s="1" t="s">
        <v>61</v>
      </c>
      <c r="I71" s="18">
        <v>1</v>
      </c>
      <c r="J71" s="19">
        <v>9480</v>
      </c>
      <c r="K71" s="19">
        <v>0</v>
      </c>
      <c r="L71" s="1" t="s">
        <v>62</v>
      </c>
      <c r="M71" s="17"/>
      <c r="N71" s="19">
        <f>tblKadry[[#This Row],[Wynagrodzenie_zasadnicze]]+tblKadry[[#This Row],[Dodatek_funkcyjny]]</f>
        <v>9480</v>
      </c>
      <c r="O71" s="19">
        <f>IF(OR(tblKadry[[#This Row],[Wynagrodzenie_zasadnicze]]="",tblKadry[[#This Row],[Etat]]=0),"",tblKadry[[#This Row],[Wynagrodzenie_zasadnicze]]/tblKadry[[#This Row],[Etat]])</f>
        <v>9480</v>
      </c>
      <c r="P71" s="21">
        <f>IF(AND(tblKadry[[#This Row],[Status]]="Aktywny",tblKadry[[#This Row],[Data_zatrudnienia]]&lt;=pDataRaportu),1,0)</f>
        <v>1</v>
      </c>
      <c r="Q71" s="20">
        <f>IF(tblKadry[[#This Row],[Data_zatrudnienia]]&gt;pDataRaportu,0,ROUND(YEARFRAC(tblKadry[[#This Row],[Data_zatrudnienia]],IF(tblKadry[[#This Row],[Data_zwolnienia]]="",pDataRaportu,tblKadry[[#This Row],[Data_zwolnienia]])),1))</f>
        <v>15.3</v>
      </c>
      <c r="R71" s="19">
        <f>tblKadry[[#This Row],[Brutto_mies]]*(1+pNarzut)</f>
        <v>11563.704</v>
      </c>
      <c r="S71" s="19">
        <f>_xlfn.XLOOKUP(tblKadry[[#This Row],[Grupa]],tblWidelki[Grupa],tblWidelki[Środek],"")</f>
        <v>8500</v>
      </c>
      <c r="T71" s="18">
        <f>IF(tblKadry[[#This Row],[Stawka_pełny_etat]]="","",tblKadry[[#This Row],[Stawka_pełny_etat]]/tblKadry[[#This Row],[Środek_widełek]])</f>
        <v>1.1152941176470588</v>
      </c>
      <c r="U7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2" spans="1:22" x14ac:dyDescent="0.3">
      <c r="A72" s="1" t="s">
        <v>135</v>
      </c>
      <c r="B72" s="1" t="s">
        <v>39</v>
      </c>
      <c r="C72" s="1" t="s">
        <v>43</v>
      </c>
      <c r="D72" s="1" t="s">
        <v>66</v>
      </c>
      <c r="E72" s="1" t="s">
        <v>28</v>
      </c>
      <c r="F72" s="1" t="s">
        <v>67</v>
      </c>
      <c r="G72" s="17">
        <v>42057</v>
      </c>
      <c r="H72" s="1" t="s">
        <v>61</v>
      </c>
      <c r="I72" s="18">
        <v>1</v>
      </c>
      <c r="J72" s="19">
        <v>9230</v>
      </c>
      <c r="K72" s="19">
        <v>0</v>
      </c>
      <c r="L72" s="1" t="s">
        <v>62</v>
      </c>
      <c r="M72" s="17"/>
      <c r="N72" s="19">
        <f>tblKadry[[#This Row],[Wynagrodzenie_zasadnicze]]+tblKadry[[#This Row],[Dodatek_funkcyjny]]</f>
        <v>9230</v>
      </c>
      <c r="O72" s="19">
        <f>IF(OR(tblKadry[[#This Row],[Wynagrodzenie_zasadnicze]]="",tblKadry[[#This Row],[Etat]]=0),"",tblKadry[[#This Row],[Wynagrodzenie_zasadnicze]]/tblKadry[[#This Row],[Etat]])</f>
        <v>9230</v>
      </c>
      <c r="P72" s="21">
        <f>IF(AND(tblKadry[[#This Row],[Status]]="Aktywny",tblKadry[[#This Row],[Data_zatrudnienia]]&lt;=pDataRaportu),1,0)</f>
        <v>1</v>
      </c>
      <c r="Q72" s="20">
        <f>IF(tblKadry[[#This Row],[Data_zatrudnienia]]&gt;pDataRaportu,0,ROUND(YEARFRAC(tblKadry[[#This Row],[Data_zatrudnienia]],IF(tblKadry[[#This Row],[Data_zwolnienia]]="",pDataRaportu,tblKadry[[#This Row],[Data_zwolnienia]])),1))</f>
        <v>11.6</v>
      </c>
      <c r="R72" s="19">
        <f>tblKadry[[#This Row],[Brutto_mies]]*(1+pNarzut)</f>
        <v>11258.754000000001</v>
      </c>
      <c r="S72" s="19">
        <f>_xlfn.XLOOKUP(tblKadry[[#This Row],[Grupa]],tblWidelki[Grupa],tblWidelki[Środek],"")</f>
        <v>8500</v>
      </c>
      <c r="T72" s="18">
        <f>IF(tblKadry[[#This Row],[Stawka_pełny_etat]]="","",tblKadry[[#This Row],[Stawka_pełny_etat]]/tblKadry[[#This Row],[Środek_widełek]])</f>
        <v>1.0858823529411765</v>
      </c>
      <c r="U7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3" spans="1:22" x14ac:dyDescent="0.3">
      <c r="A73" s="1" t="s">
        <v>100</v>
      </c>
      <c r="B73" s="1" t="s">
        <v>39</v>
      </c>
      <c r="C73" s="1" t="s">
        <v>46</v>
      </c>
      <c r="D73" s="1" t="s">
        <v>101</v>
      </c>
      <c r="E73" s="1" t="s">
        <v>30</v>
      </c>
      <c r="F73" s="1" t="s">
        <v>67</v>
      </c>
      <c r="G73" s="17">
        <v>46200</v>
      </c>
      <c r="H73" s="1" t="s">
        <v>68</v>
      </c>
      <c r="I73" s="18">
        <v>1</v>
      </c>
      <c r="J73" s="19">
        <v>9050</v>
      </c>
      <c r="K73" s="19">
        <v>2000</v>
      </c>
      <c r="L73" s="1" t="s">
        <v>62</v>
      </c>
      <c r="M73" s="17"/>
      <c r="N73" s="19">
        <f>tblKadry[[#This Row],[Wynagrodzenie_zasadnicze]]+tblKadry[[#This Row],[Dodatek_funkcyjny]]</f>
        <v>11050</v>
      </c>
      <c r="O73" s="19">
        <f>IF(OR(tblKadry[[#This Row],[Wynagrodzenie_zasadnicze]]="",tblKadry[[#This Row],[Etat]]=0),"",tblKadry[[#This Row],[Wynagrodzenie_zasadnicze]]/tblKadry[[#This Row],[Etat]])</f>
        <v>9050</v>
      </c>
      <c r="P73" s="21">
        <f>IF(AND(tblKadry[[#This Row],[Status]]="Aktywny",tblKadry[[#This Row],[Data_zatrudnienia]]&lt;=pDataRaportu),1,0)</f>
        <v>1</v>
      </c>
      <c r="Q73" s="20">
        <f>IF(tblKadry[[#This Row],[Data_zatrudnienia]]&gt;pDataRaportu,0,ROUND(YEARFRAC(tblKadry[[#This Row],[Data_zatrudnienia]],IF(tblKadry[[#This Row],[Data_zwolnienia]]="",pDataRaportu,tblKadry[[#This Row],[Data_zwolnienia]])),1))</f>
        <v>0.3</v>
      </c>
      <c r="R73" s="19">
        <f>tblKadry[[#This Row],[Brutto_mies]]*(1+pNarzut)</f>
        <v>13478.789999999999</v>
      </c>
      <c r="S73" s="19">
        <f>_xlfn.XLOOKUP(tblKadry[[#This Row],[Grupa]],tblWidelki[Grupa],tblWidelki[Środek],"")</f>
        <v>11000</v>
      </c>
      <c r="T73" s="18">
        <f>IF(tblKadry[[#This Row],[Stawka_pełny_etat]]="","",tblKadry[[#This Row],[Stawka_pełny_etat]]/tblKadry[[#This Row],[Środek_widełek]])</f>
        <v>0.82272727272727275</v>
      </c>
      <c r="U7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4" spans="1:22" x14ac:dyDescent="0.3">
      <c r="A74" s="1" t="s">
        <v>166</v>
      </c>
      <c r="B74" s="1" t="s">
        <v>39</v>
      </c>
      <c r="C74" s="1" t="s">
        <v>44</v>
      </c>
      <c r="D74" s="1" t="s">
        <v>97</v>
      </c>
      <c r="E74" s="1" t="s">
        <v>28</v>
      </c>
      <c r="F74" s="1" t="s">
        <v>60</v>
      </c>
      <c r="G74" s="17">
        <v>41801</v>
      </c>
      <c r="H74" s="1" t="s">
        <v>61</v>
      </c>
      <c r="I74" s="18">
        <v>1</v>
      </c>
      <c r="J74" s="19">
        <v>9030</v>
      </c>
      <c r="K74" s="19">
        <v>0</v>
      </c>
      <c r="L74" s="1" t="s">
        <v>62</v>
      </c>
      <c r="M74" s="17"/>
      <c r="N74" s="19">
        <f>tblKadry[[#This Row],[Wynagrodzenie_zasadnicze]]+tblKadry[[#This Row],[Dodatek_funkcyjny]]</f>
        <v>9030</v>
      </c>
      <c r="O74" s="19">
        <f>IF(OR(tblKadry[[#This Row],[Wynagrodzenie_zasadnicze]]="",tblKadry[[#This Row],[Etat]]=0),"",tblKadry[[#This Row],[Wynagrodzenie_zasadnicze]]/tblKadry[[#This Row],[Etat]])</f>
        <v>9030</v>
      </c>
      <c r="P74" s="21">
        <f>IF(AND(tblKadry[[#This Row],[Status]]="Aktywny",tblKadry[[#This Row],[Data_zatrudnienia]]&lt;=pDataRaportu),1,0)</f>
        <v>1</v>
      </c>
      <c r="Q74" s="20">
        <f>IF(tblKadry[[#This Row],[Data_zatrudnienia]]&gt;pDataRaportu,0,ROUND(YEARFRAC(tblKadry[[#This Row],[Data_zatrudnienia]],IF(tblKadry[[#This Row],[Data_zwolnienia]]="",pDataRaportu,tblKadry[[#This Row],[Data_zwolnienia]])),1))</f>
        <v>12.3</v>
      </c>
      <c r="R74" s="19">
        <f>tblKadry[[#This Row],[Brutto_mies]]*(1+pNarzut)</f>
        <v>11014.794</v>
      </c>
      <c r="S74" s="19">
        <f>_xlfn.XLOOKUP(tblKadry[[#This Row],[Grupa]],tblWidelki[Grupa],tblWidelki[Środek],"")</f>
        <v>8500</v>
      </c>
      <c r="T74" s="18">
        <f>IF(tblKadry[[#This Row],[Stawka_pełny_etat]]="","",tblKadry[[#This Row],[Stawka_pełny_etat]]/tblKadry[[#This Row],[Środek_widełek]])</f>
        <v>1.0623529411764705</v>
      </c>
      <c r="U7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5" spans="1:22" x14ac:dyDescent="0.3">
      <c r="A75" s="1" t="s">
        <v>110</v>
      </c>
      <c r="B75" s="1" t="s">
        <v>39</v>
      </c>
      <c r="C75" s="1" t="s">
        <v>44</v>
      </c>
      <c r="D75" s="1" t="s">
        <v>97</v>
      </c>
      <c r="E75" s="1" t="s">
        <v>28</v>
      </c>
      <c r="F75" s="1" t="s">
        <v>60</v>
      </c>
      <c r="G75" s="17">
        <v>42288</v>
      </c>
      <c r="H75" s="1" t="s">
        <v>61</v>
      </c>
      <c r="I75" s="18">
        <v>1</v>
      </c>
      <c r="J75" s="19">
        <v>9000</v>
      </c>
      <c r="K75" s="19">
        <v>0</v>
      </c>
      <c r="L75" s="1" t="s">
        <v>62</v>
      </c>
      <c r="M75" s="17"/>
      <c r="N75" s="19">
        <f>tblKadry[[#This Row],[Wynagrodzenie_zasadnicze]]+tblKadry[[#This Row],[Dodatek_funkcyjny]]</f>
        <v>9000</v>
      </c>
      <c r="O75" s="19">
        <f>IF(OR(tblKadry[[#This Row],[Wynagrodzenie_zasadnicze]]="",tblKadry[[#This Row],[Etat]]=0),"",tblKadry[[#This Row],[Wynagrodzenie_zasadnicze]]/tblKadry[[#This Row],[Etat]])</f>
        <v>9000</v>
      </c>
      <c r="P75" s="21">
        <f>IF(AND(tblKadry[[#This Row],[Status]]="Aktywny",tblKadry[[#This Row],[Data_zatrudnienia]]&lt;=pDataRaportu),1,0)</f>
        <v>1</v>
      </c>
      <c r="Q75" s="20">
        <f>IF(tblKadry[[#This Row],[Data_zatrudnienia]]&gt;pDataRaportu,0,ROUND(YEARFRAC(tblKadry[[#This Row],[Data_zatrudnienia]],IF(tblKadry[[#This Row],[Data_zwolnienia]]="",pDataRaportu,tblKadry[[#This Row],[Data_zwolnienia]])),1))</f>
        <v>11</v>
      </c>
      <c r="R75" s="19">
        <f>tblKadry[[#This Row],[Brutto_mies]]*(1+pNarzut)</f>
        <v>10978.2</v>
      </c>
      <c r="S75" s="19">
        <f>_xlfn.XLOOKUP(tblKadry[[#This Row],[Grupa]],tblWidelki[Grupa],tblWidelki[Środek],"")</f>
        <v>8500</v>
      </c>
      <c r="T75" s="18">
        <f>IF(tblKadry[[#This Row],[Stawka_pełny_etat]]="","",tblKadry[[#This Row],[Stawka_pełny_etat]]/tblKadry[[#This Row],[Środek_widełek]])</f>
        <v>1.0588235294117647</v>
      </c>
      <c r="U7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6" spans="1:22" x14ac:dyDescent="0.3">
      <c r="A76" s="1" t="s">
        <v>262</v>
      </c>
      <c r="B76" s="1" t="s">
        <v>40</v>
      </c>
      <c r="C76" s="1" t="s">
        <v>46</v>
      </c>
      <c r="D76" s="1" t="s">
        <v>64</v>
      </c>
      <c r="E76" s="1" t="s">
        <v>28</v>
      </c>
      <c r="F76" s="1" t="s">
        <v>67</v>
      </c>
      <c r="G76" s="17">
        <v>42774</v>
      </c>
      <c r="H76" s="1" t="s">
        <v>61</v>
      </c>
      <c r="I76" s="18">
        <v>1</v>
      </c>
      <c r="J76" s="19">
        <v>8980</v>
      </c>
      <c r="K76" s="19">
        <v>0</v>
      </c>
      <c r="L76" s="1" t="s">
        <v>62</v>
      </c>
      <c r="M76" s="17"/>
      <c r="N76" s="19">
        <f>tblKadry[[#This Row],[Wynagrodzenie_zasadnicze]]+tblKadry[[#This Row],[Dodatek_funkcyjny]]</f>
        <v>8980</v>
      </c>
      <c r="O76" s="19">
        <f>IF(OR(tblKadry[[#This Row],[Wynagrodzenie_zasadnicze]]="",tblKadry[[#This Row],[Etat]]=0),"",tblKadry[[#This Row],[Wynagrodzenie_zasadnicze]]/tblKadry[[#This Row],[Etat]])</f>
        <v>8980</v>
      </c>
      <c r="P76" s="21">
        <f>IF(AND(tblKadry[[#This Row],[Status]]="Aktywny",tblKadry[[#This Row],[Data_zatrudnienia]]&lt;=pDataRaportu),1,0)</f>
        <v>1</v>
      </c>
      <c r="Q76" s="20">
        <f>IF(tblKadry[[#This Row],[Data_zatrudnienia]]&gt;pDataRaportu,0,ROUND(YEARFRAC(tblKadry[[#This Row],[Data_zatrudnienia]],IF(tblKadry[[#This Row],[Data_zwolnienia]]="",pDataRaportu,tblKadry[[#This Row],[Data_zwolnienia]])),1))</f>
        <v>9.6</v>
      </c>
      <c r="R76" s="19">
        <f>tblKadry[[#This Row],[Brutto_mies]]*(1+pNarzut)</f>
        <v>10953.804</v>
      </c>
      <c r="S76" s="19">
        <f>_xlfn.XLOOKUP(tblKadry[[#This Row],[Grupa]],tblWidelki[Grupa],tblWidelki[Środek],"")</f>
        <v>8500</v>
      </c>
      <c r="T76" s="18">
        <f>IF(tblKadry[[#This Row],[Stawka_pełny_etat]]="","",tblKadry[[#This Row],[Stawka_pełny_etat]]/tblKadry[[#This Row],[Środek_widełek]])</f>
        <v>1.0564705882352941</v>
      </c>
      <c r="U7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7" spans="1:22" x14ac:dyDescent="0.3">
      <c r="A77" s="1" t="s">
        <v>215</v>
      </c>
      <c r="B77" s="1" t="s">
        <v>41</v>
      </c>
      <c r="C77" s="1" t="s">
        <v>43</v>
      </c>
      <c r="D77" s="1" t="s">
        <v>66</v>
      </c>
      <c r="E77" s="1" t="s">
        <v>28</v>
      </c>
      <c r="F77" s="1" t="s">
        <v>67</v>
      </c>
      <c r="G77" s="17">
        <v>41655</v>
      </c>
      <c r="H77" s="1" t="s">
        <v>61</v>
      </c>
      <c r="I77" s="18">
        <v>1</v>
      </c>
      <c r="J77" s="19">
        <v>8900</v>
      </c>
      <c r="K77" s="19">
        <v>0</v>
      </c>
      <c r="L77" s="1" t="s">
        <v>62</v>
      </c>
      <c r="M77" s="17"/>
      <c r="N77" s="19">
        <f>tblKadry[[#This Row],[Wynagrodzenie_zasadnicze]]+tblKadry[[#This Row],[Dodatek_funkcyjny]]</f>
        <v>8900</v>
      </c>
      <c r="O77" s="19">
        <f>IF(OR(tblKadry[[#This Row],[Wynagrodzenie_zasadnicze]]="",tblKadry[[#This Row],[Etat]]=0),"",tblKadry[[#This Row],[Wynagrodzenie_zasadnicze]]/tblKadry[[#This Row],[Etat]])</f>
        <v>8900</v>
      </c>
      <c r="P77" s="21">
        <f>IF(AND(tblKadry[[#This Row],[Status]]="Aktywny",tblKadry[[#This Row],[Data_zatrudnienia]]&lt;=pDataRaportu),1,0)</f>
        <v>1</v>
      </c>
      <c r="Q77" s="20">
        <f>IF(tblKadry[[#This Row],[Data_zatrudnienia]]&gt;pDataRaportu,0,ROUND(YEARFRAC(tblKadry[[#This Row],[Data_zatrudnienia]],IF(tblKadry[[#This Row],[Data_zwolnienia]]="",pDataRaportu,tblKadry[[#This Row],[Data_zwolnienia]])),1))</f>
        <v>12.7</v>
      </c>
      <c r="R77" s="19">
        <f>tblKadry[[#This Row],[Brutto_mies]]*(1+pNarzut)</f>
        <v>10856.22</v>
      </c>
      <c r="S77" s="19">
        <f>_xlfn.XLOOKUP(tblKadry[[#This Row],[Grupa]],tblWidelki[Grupa],tblWidelki[Środek],"")</f>
        <v>8500</v>
      </c>
      <c r="T77" s="18">
        <f>IF(tblKadry[[#This Row],[Stawka_pełny_etat]]="","",tblKadry[[#This Row],[Stawka_pełny_etat]]/tblKadry[[#This Row],[Środek_widełek]])</f>
        <v>1.0470588235294118</v>
      </c>
      <c r="U7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8" spans="1:22" x14ac:dyDescent="0.3">
      <c r="A78" s="1" t="s">
        <v>147</v>
      </c>
      <c r="B78" s="1" t="s">
        <v>40</v>
      </c>
      <c r="C78" s="1" t="s">
        <v>43</v>
      </c>
      <c r="D78" s="1" t="s">
        <v>66</v>
      </c>
      <c r="E78" s="1" t="s">
        <v>28</v>
      </c>
      <c r="F78" s="1" t="s">
        <v>67</v>
      </c>
      <c r="G78" s="17">
        <v>43591</v>
      </c>
      <c r="H78" s="1" t="s">
        <v>61</v>
      </c>
      <c r="I78" s="18">
        <v>1</v>
      </c>
      <c r="J78" s="19">
        <v>8870</v>
      </c>
      <c r="K78" s="19">
        <v>0</v>
      </c>
      <c r="L78" s="1" t="s">
        <v>62</v>
      </c>
      <c r="M78" s="17"/>
      <c r="N78" s="19">
        <f>tblKadry[[#This Row],[Wynagrodzenie_zasadnicze]]+tblKadry[[#This Row],[Dodatek_funkcyjny]]</f>
        <v>8870</v>
      </c>
      <c r="O78" s="19">
        <f>IF(OR(tblKadry[[#This Row],[Wynagrodzenie_zasadnicze]]="",tblKadry[[#This Row],[Etat]]=0),"",tblKadry[[#This Row],[Wynagrodzenie_zasadnicze]]/tblKadry[[#This Row],[Etat]])</f>
        <v>8870</v>
      </c>
      <c r="P78" s="21">
        <f>IF(AND(tblKadry[[#This Row],[Status]]="Aktywny",tblKadry[[#This Row],[Data_zatrudnienia]]&lt;=pDataRaportu),1,0)</f>
        <v>1</v>
      </c>
      <c r="Q78" s="20">
        <f>IF(tblKadry[[#This Row],[Data_zatrudnienia]]&gt;pDataRaportu,0,ROUND(YEARFRAC(tblKadry[[#This Row],[Data_zatrudnienia]],IF(tblKadry[[#This Row],[Data_zwolnienia]]="",pDataRaportu,tblKadry[[#This Row],[Data_zwolnienia]])),1))</f>
        <v>7.4</v>
      </c>
      <c r="R78" s="19">
        <f>tblKadry[[#This Row],[Brutto_mies]]*(1+pNarzut)</f>
        <v>10819.626</v>
      </c>
      <c r="S78" s="19">
        <f>_xlfn.XLOOKUP(tblKadry[[#This Row],[Grupa]],tblWidelki[Grupa],tblWidelki[Środek],"")</f>
        <v>8500</v>
      </c>
      <c r="T78" s="18">
        <f>IF(tblKadry[[#This Row],[Stawka_pełny_etat]]="","",tblKadry[[#This Row],[Stawka_pełny_etat]]/tblKadry[[#This Row],[Środek_widełek]])</f>
        <v>1.0435294117647058</v>
      </c>
      <c r="U7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79" spans="1:22" x14ac:dyDescent="0.3">
      <c r="A79" s="1" t="s">
        <v>134</v>
      </c>
      <c r="B79" s="1" t="s">
        <v>39</v>
      </c>
      <c r="C79" s="1" t="s">
        <v>43</v>
      </c>
      <c r="D79" s="1" t="s">
        <v>66</v>
      </c>
      <c r="E79" s="1" t="s">
        <v>28</v>
      </c>
      <c r="F79" s="1" t="s">
        <v>67</v>
      </c>
      <c r="G79" s="17">
        <v>42145</v>
      </c>
      <c r="H79" s="1" t="s">
        <v>61</v>
      </c>
      <c r="I79" s="18">
        <v>1</v>
      </c>
      <c r="J79" s="19">
        <v>8870</v>
      </c>
      <c r="K79" s="19">
        <v>0</v>
      </c>
      <c r="L79" s="1" t="s">
        <v>62</v>
      </c>
      <c r="M79" s="17"/>
      <c r="N79" s="19">
        <f>tblKadry[[#This Row],[Wynagrodzenie_zasadnicze]]+tblKadry[[#This Row],[Dodatek_funkcyjny]]</f>
        <v>8870</v>
      </c>
      <c r="O79" s="19">
        <f>IF(OR(tblKadry[[#This Row],[Wynagrodzenie_zasadnicze]]="",tblKadry[[#This Row],[Etat]]=0),"",tblKadry[[#This Row],[Wynagrodzenie_zasadnicze]]/tblKadry[[#This Row],[Etat]])</f>
        <v>8870</v>
      </c>
      <c r="P79" s="21">
        <f>IF(AND(tblKadry[[#This Row],[Status]]="Aktywny",tblKadry[[#This Row],[Data_zatrudnienia]]&lt;=pDataRaportu),1,0)</f>
        <v>1</v>
      </c>
      <c r="Q79" s="20">
        <f>IF(tblKadry[[#This Row],[Data_zatrudnienia]]&gt;pDataRaportu,0,ROUND(YEARFRAC(tblKadry[[#This Row],[Data_zatrudnienia]],IF(tblKadry[[#This Row],[Data_zwolnienia]]="",pDataRaportu,tblKadry[[#This Row],[Data_zwolnienia]])),1))</f>
        <v>11.4</v>
      </c>
      <c r="R79" s="19">
        <f>tblKadry[[#This Row],[Brutto_mies]]*(1+pNarzut)</f>
        <v>10819.626</v>
      </c>
      <c r="S79" s="19">
        <f>_xlfn.XLOOKUP(tblKadry[[#This Row],[Grupa]],tblWidelki[Grupa],tblWidelki[Środek],"")</f>
        <v>8500</v>
      </c>
      <c r="T79" s="18">
        <f>IF(tblKadry[[#This Row],[Stawka_pełny_etat]]="","",tblKadry[[#This Row],[Stawka_pełny_etat]]/tblKadry[[#This Row],[Środek_widełek]])</f>
        <v>1.0435294117647058</v>
      </c>
      <c r="U7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7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0" spans="1:22" x14ac:dyDescent="0.3">
      <c r="A80" s="1" t="s">
        <v>132</v>
      </c>
      <c r="B80" s="1" t="s">
        <v>39</v>
      </c>
      <c r="C80" s="1" t="s">
        <v>45</v>
      </c>
      <c r="D80" s="1" t="s">
        <v>66</v>
      </c>
      <c r="E80" s="1" t="s">
        <v>28</v>
      </c>
      <c r="F80" s="1" t="s">
        <v>60</v>
      </c>
      <c r="G80" s="17">
        <v>42047</v>
      </c>
      <c r="H80" s="1" t="s">
        <v>61</v>
      </c>
      <c r="I80" s="18">
        <v>1</v>
      </c>
      <c r="J80" s="19">
        <v>8870</v>
      </c>
      <c r="K80" s="19">
        <v>0</v>
      </c>
      <c r="L80" s="1" t="s">
        <v>62</v>
      </c>
      <c r="M80" s="17"/>
      <c r="N80" s="19">
        <f>tblKadry[[#This Row],[Wynagrodzenie_zasadnicze]]+tblKadry[[#This Row],[Dodatek_funkcyjny]]</f>
        <v>8870</v>
      </c>
      <c r="O80" s="19">
        <f>IF(OR(tblKadry[[#This Row],[Wynagrodzenie_zasadnicze]]="",tblKadry[[#This Row],[Etat]]=0),"",tblKadry[[#This Row],[Wynagrodzenie_zasadnicze]]/tblKadry[[#This Row],[Etat]])</f>
        <v>8870</v>
      </c>
      <c r="P80" s="21">
        <f>IF(AND(tblKadry[[#This Row],[Status]]="Aktywny",tblKadry[[#This Row],[Data_zatrudnienia]]&lt;=pDataRaportu),1,0)</f>
        <v>1</v>
      </c>
      <c r="Q80" s="20">
        <f>IF(tblKadry[[#This Row],[Data_zatrudnienia]]&gt;pDataRaportu,0,ROUND(YEARFRAC(tblKadry[[#This Row],[Data_zatrudnienia]],IF(tblKadry[[#This Row],[Data_zwolnienia]]="",pDataRaportu,tblKadry[[#This Row],[Data_zwolnienia]])),1))</f>
        <v>11.6</v>
      </c>
      <c r="R80" s="19">
        <f>tblKadry[[#This Row],[Brutto_mies]]*(1+pNarzut)</f>
        <v>10819.626</v>
      </c>
      <c r="S80" s="19">
        <f>_xlfn.XLOOKUP(tblKadry[[#This Row],[Grupa]],tblWidelki[Grupa],tblWidelki[Środek],"")</f>
        <v>8500</v>
      </c>
      <c r="T80" s="18">
        <f>IF(tblKadry[[#This Row],[Stawka_pełny_etat]]="","",tblKadry[[#This Row],[Stawka_pełny_etat]]/tblKadry[[#This Row],[Środek_widełek]])</f>
        <v>1.0435294117647058</v>
      </c>
      <c r="U8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1" spans="1:22" x14ac:dyDescent="0.3">
      <c r="A81" s="1" t="s">
        <v>198</v>
      </c>
      <c r="B81" s="1" t="s">
        <v>39</v>
      </c>
      <c r="C81" s="1" t="s">
        <v>43</v>
      </c>
      <c r="D81" s="1" t="s">
        <v>66</v>
      </c>
      <c r="E81" s="1" t="s">
        <v>28</v>
      </c>
      <c r="F81" s="1" t="s">
        <v>67</v>
      </c>
      <c r="G81" s="17">
        <v>43663</v>
      </c>
      <c r="H81" s="1" t="s">
        <v>61</v>
      </c>
      <c r="I81" s="18">
        <v>1</v>
      </c>
      <c r="J81" s="19">
        <v>8860</v>
      </c>
      <c r="K81" s="19">
        <v>0</v>
      </c>
      <c r="L81" s="1" t="s">
        <v>62</v>
      </c>
      <c r="M81" s="17"/>
      <c r="N81" s="19">
        <f>tblKadry[[#This Row],[Wynagrodzenie_zasadnicze]]+tblKadry[[#This Row],[Dodatek_funkcyjny]]</f>
        <v>8860</v>
      </c>
      <c r="O81" s="19">
        <f>IF(OR(tblKadry[[#This Row],[Wynagrodzenie_zasadnicze]]="",tblKadry[[#This Row],[Etat]]=0),"",tblKadry[[#This Row],[Wynagrodzenie_zasadnicze]]/tblKadry[[#This Row],[Etat]])</f>
        <v>8860</v>
      </c>
      <c r="P81" s="21">
        <f>IF(AND(tblKadry[[#This Row],[Status]]="Aktywny",tblKadry[[#This Row],[Data_zatrudnienia]]&lt;=pDataRaportu),1,0)</f>
        <v>1</v>
      </c>
      <c r="Q81" s="20">
        <f>IF(tblKadry[[#This Row],[Data_zatrudnienia]]&gt;pDataRaportu,0,ROUND(YEARFRAC(tblKadry[[#This Row],[Data_zatrudnienia]],IF(tblKadry[[#This Row],[Data_zwolnienia]]="",pDataRaportu,tblKadry[[#This Row],[Data_zwolnienia]])),1))</f>
        <v>7.2</v>
      </c>
      <c r="R81" s="19">
        <f>tblKadry[[#This Row],[Brutto_mies]]*(1+pNarzut)</f>
        <v>10807.428</v>
      </c>
      <c r="S81" s="19">
        <f>_xlfn.XLOOKUP(tblKadry[[#This Row],[Grupa]],tblWidelki[Grupa],tblWidelki[Środek],"")</f>
        <v>8500</v>
      </c>
      <c r="T81" s="18">
        <f>IF(tblKadry[[#This Row],[Stawka_pełny_etat]]="","",tblKadry[[#This Row],[Stawka_pełny_etat]]/tblKadry[[#This Row],[Środek_widełek]])</f>
        <v>1.0423529411764705</v>
      </c>
      <c r="U8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2" spans="1:22" x14ac:dyDescent="0.3">
      <c r="A82" s="1" t="s">
        <v>131</v>
      </c>
      <c r="B82" s="1" t="s">
        <v>38</v>
      </c>
      <c r="C82" s="1" t="s">
        <v>43</v>
      </c>
      <c r="D82" s="1" t="s">
        <v>66</v>
      </c>
      <c r="E82" s="1" t="s">
        <v>28</v>
      </c>
      <c r="F82" s="1" t="s">
        <v>67</v>
      </c>
      <c r="G82" s="17">
        <v>41869</v>
      </c>
      <c r="H82" s="1" t="s">
        <v>61</v>
      </c>
      <c r="I82" s="18">
        <v>1</v>
      </c>
      <c r="J82" s="19">
        <v>8860</v>
      </c>
      <c r="K82" s="19">
        <v>0</v>
      </c>
      <c r="L82" s="1" t="s">
        <v>83</v>
      </c>
      <c r="M82" s="17">
        <v>46201</v>
      </c>
      <c r="N82" s="19">
        <f>tblKadry[[#This Row],[Wynagrodzenie_zasadnicze]]+tblKadry[[#This Row],[Dodatek_funkcyjny]]</f>
        <v>8860</v>
      </c>
      <c r="O82" s="19">
        <f>IF(OR(tblKadry[[#This Row],[Wynagrodzenie_zasadnicze]]="",tblKadry[[#This Row],[Etat]]=0),"",tblKadry[[#This Row],[Wynagrodzenie_zasadnicze]]/tblKadry[[#This Row],[Etat]])</f>
        <v>8860</v>
      </c>
      <c r="P82" s="21">
        <f>IF(AND(tblKadry[[#This Row],[Status]]="Aktywny",tblKadry[[#This Row],[Data_zatrudnienia]]&lt;=pDataRaportu),1,0)</f>
        <v>0</v>
      </c>
      <c r="Q82" s="20">
        <f>IF(tblKadry[[#This Row],[Data_zatrudnienia]]&gt;pDataRaportu,0,ROUND(YEARFRAC(tblKadry[[#This Row],[Data_zatrudnienia]],IF(tblKadry[[#This Row],[Data_zwolnienia]]="",pDataRaportu,tblKadry[[#This Row],[Data_zwolnienia]])),1))</f>
        <v>11.9</v>
      </c>
      <c r="R82" s="19">
        <f>tblKadry[[#This Row],[Brutto_mies]]*(1+pNarzut)</f>
        <v>10807.428</v>
      </c>
      <c r="S82" s="19">
        <f>_xlfn.XLOOKUP(tblKadry[[#This Row],[Grupa]],tblWidelki[Grupa],tblWidelki[Środek],"")</f>
        <v>8500</v>
      </c>
      <c r="T82" s="18">
        <f>IF(tblKadry[[#This Row],[Stawka_pełny_etat]]="","",tblKadry[[#This Row],[Stawka_pełny_etat]]/tblKadry[[#This Row],[Środek_widełek]])</f>
        <v>1.0423529411764705</v>
      </c>
      <c r="U8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3" spans="1:22" x14ac:dyDescent="0.3">
      <c r="A83" s="1" t="s">
        <v>195</v>
      </c>
      <c r="B83" s="1" t="s">
        <v>40</v>
      </c>
      <c r="C83" s="1" t="s">
        <v>46</v>
      </c>
      <c r="D83" s="1" t="s">
        <v>64</v>
      </c>
      <c r="E83" s="1" t="s">
        <v>28</v>
      </c>
      <c r="F83" s="1" t="s">
        <v>67</v>
      </c>
      <c r="G83" s="17">
        <v>42665</v>
      </c>
      <c r="H83" s="1" t="s">
        <v>61</v>
      </c>
      <c r="I83" s="18">
        <v>1</v>
      </c>
      <c r="J83" s="19">
        <v>8840</v>
      </c>
      <c r="K83" s="19">
        <v>0</v>
      </c>
      <c r="L83" s="1" t="s">
        <v>62</v>
      </c>
      <c r="M83" s="17"/>
      <c r="N83" s="19">
        <f>tblKadry[[#This Row],[Wynagrodzenie_zasadnicze]]+tblKadry[[#This Row],[Dodatek_funkcyjny]]</f>
        <v>8840</v>
      </c>
      <c r="O83" s="19">
        <f>IF(OR(tblKadry[[#This Row],[Wynagrodzenie_zasadnicze]]="",tblKadry[[#This Row],[Etat]]=0),"",tblKadry[[#This Row],[Wynagrodzenie_zasadnicze]]/tblKadry[[#This Row],[Etat]])</f>
        <v>8840</v>
      </c>
      <c r="P83" s="21">
        <f>IF(AND(tblKadry[[#This Row],[Status]]="Aktywny",tblKadry[[#This Row],[Data_zatrudnienia]]&lt;=pDataRaportu),1,0)</f>
        <v>1</v>
      </c>
      <c r="Q83" s="20">
        <f>IF(tblKadry[[#This Row],[Data_zatrudnienia]]&gt;pDataRaportu,0,ROUND(YEARFRAC(tblKadry[[#This Row],[Data_zatrudnienia]],IF(tblKadry[[#This Row],[Data_zwolnienia]]="",pDataRaportu,tblKadry[[#This Row],[Data_zwolnienia]])),1))</f>
        <v>9.9</v>
      </c>
      <c r="R83" s="19">
        <f>tblKadry[[#This Row],[Brutto_mies]]*(1+pNarzut)</f>
        <v>10783.031999999999</v>
      </c>
      <c r="S83" s="19">
        <f>_xlfn.XLOOKUP(tblKadry[[#This Row],[Grupa]],tblWidelki[Grupa],tblWidelki[Środek],"")</f>
        <v>8500</v>
      </c>
      <c r="T83" s="18">
        <f>IF(tblKadry[[#This Row],[Stawka_pełny_etat]]="","",tblKadry[[#This Row],[Stawka_pełny_etat]]/tblKadry[[#This Row],[Środek_widełek]])</f>
        <v>1.04</v>
      </c>
      <c r="U8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4" spans="1:22" x14ac:dyDescent="0.3">
      <c r="A84" s="1" t="s">
        <v>117</v>
      </c>
      <c r="B84" s="1" t="s">
        <v>40</v>
      </c>
      <c r="C84" s="1" t="s">
        <v>47</v>
      </c>
      <c r="D84" s="1" t="s">
        <v>94</v>
      </c>
      <c r="E84" s="1" t="s">
        <v>28</v>
      </c>
      <c r="F84" s="1" t="s">
        <v>67</v>
      </c>
      <c r="G84" s="17">
        <v>40123</v>
      </c>
      <c r="H84" s="1" t="s">
        <v>61</v>
      </c>
      <c r="I84" s="18">
        <v>1</v>
      </c>
      <c r="J84" s="19">
        <v>8840</v>
      </c>
      <c r="K84" s="19">
        <v>0</v>
      </c>
      <c r="L84" s="1" t="s">
        <v>62</v>
      </c>
      <c r="M84" s="17"/>
      <c r="N84" s="19">
        <f>tblKadry[[#This Row],[Wynagrodzenie_zasadnicze]]+tblKadry[[#This Row],[Dodatek_funkcyjny]]</f>
        <v>8840</v>
      </c>
      <c r="O84" s="19">
        <f>IF(OR(tblKadry[[#This Row],[Wynagrodzenie_zasadnicze]]="",tblKadry[[#This Row],[Etat]]=0),"",tblKadry[[#This Row],[Wynagrodzenie_zasadnicze]]/tblKadry[[#This Row],[Etat]])</f>
        <v>8840</v>
      </c>
      <c r="P84" s="21">
        <f>IF(AND(tblKadry[[#This Row],[Status]]="Aktywny",tblKadry[[#This Row],[Data_zatrudnienia]]&lt;=pDataRaportu),1,0)</f>
        <v>1</v>
      </c>
      <c r="Q84" s="20">
        <f>IF(tblKadry[[#This Row],[Data_zatrudnienia]]&gt;pDataRaportu,0,ROUND(YEARFRAC(tblKadry[[#This Row],[Data_zatrudnienia]],IF(tblKadry[[#This Row],[Data_zwolnienia]]="",pDataRaportu,tblKadry[[#This Row],[Data_zwolnienia]])),1))</f>
        <v>16.899999999999999</v>
      </c>
      <c r="R84" s="19">
        <f>tblKadry[[#This Row],[Brutto_mies]]*(1+pNarzut)</f>
        <v>10783.031999999999</v>
      </c>
      <c r="S84" s="19">
        <f>_xlfn.XLOOKUP(tblKadry[[#This Row],[Grupa]],tblWidelki[Grupa],tblWidelki[Środek],"")</f>
        <v>8500</v>
      </c>
      <c r="T84" s="18">
        <f>IF(tblKadry[[#This Row],[Stawka_pełny_etat]]="","",tblKadry[[#This Row],[Stawka_pełny_etat]]/tblKadry[[#This Row],[Środek_widełek]])</f>
        <v>1.04</v>
      </c>
      <c r="U8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5" spans="1:22" x14ac:dyDescent="0.3">
      <c r="A85" s="1" t="s">
        <v>214</v>
      </c>
      <c r="B85" s="1" t="s">
        <v>41</v>
      </c>
      <c r="C85" s="1" t="s">
        <v>44</v>
      </c>
      <c r="D85" s="1" t="s">
        <v>97</v>
      </c>
      <c r="E85" s="1" t="s">
        <v>28</v>
      </c>
      <c r="F85" s="1" t="s">
        <v>67</v>
      </c>
      <c r="G85" s="17">
        <v>41420</v>
      </c>
      <c r="H85" s="1" t="s">
        <v>61</v>
      </c>
      <c r="I85" s="18">
        <v>1</v>
      </c>
      <c r="J85" s="19">
        <v>8710</v>
      </c>
      <c r="K85" s="19">
        <v>0</v>
      </c>
      <c r="L85" s="1" t="s">
        <v>62</v>
      </c>
      <c r="M85" s="17"/>
      <c r="N85" s="19">
        <f>tblKadry[[#This Row],[Wynagrodzenie_zasadnicze]]+tblKadry[[#This Row],[Dodatek_funkcyjny]]</f>
        <v>8710</v>
      </c>
      <c r="O85" s="19">
        <f>IF(OR(tblKadry[[#This Row],[Wynagrodzenie_zasadnicze]]="",tblKadry[[#This Row],[Etat]]=0),"",tblKadry[[#This Row],[Wynagrodzenie_zasadnicze]]/tblKadry[[#This Row],[Etat]])</f>
        <v>8710</v>
      </c>
      <c r="P85" s="21">
        <f>IF(AND(tblKadry[[#This Row],[Status]]="Aktywny",tblKadry[[#This Row],[Data_zatrudnienia]]&lt;=pDataRaportu),1,0)</f>
        <v>1</v>
      </c>
      <c r="Q85" s="20">
        <f>IF(tblKadry[[#This Row],[Data_zatrudnienia]]&gt;pDataRaportu,0,ROUND(YEARFRAC(tblKadry[[#This Row],[Data_zatrudnienia]],IF(tblKadry[[#This Row],[Data_zwolnienia]]="",pDataRaportu,tblKadry[[#This Row],[Data_zwolnienia]])),1))</f>
        <v>13.3</v>
      </c>
      <c r="R85" s="19">
        <f>tblKadry[[#This Row],[Brutto_mies]]*(1+pNarzut)</f>
        <v>10624.458000000001</v>
      </c>
      <c r="S85" s="19">
        <f>_xlfn.XLOOKUP(tblKadry[[#This Row],[Grupa]],tblWidelki[Grupa],tblWidelki[Środek],"")</f>
        <v>8500</v>
      </c>
      <c r="T85" s="18">
        <f>IF(tblKadry[[#This Row],[Stawka_pełny_etat]]="","",tblKadry[[#This Row],[Stawka_pełny_etat]]/tblKadry[[#This Row],[Środek_widełek]])</f>
        <v>1.0247058823529411</v>
      </c>
      <c r="U8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6" spans="1:22" x14ac:dyDescent="0.3">
      <c r="A86" s="1" t="s">
        <v>227</v>
      </c>
      <c r="B86" s="1" t="s">
        <v>39</v>
      </c>
      <c r="C86" s="1" t="s">
        <v>46</v>
      </c>
      <c r="D86" s="1" t="s">
        <v>64</v>
      </c>
      <c r="E86" s="1" t="s">
        <v>28</v>
      </c>
      <c r="F86" s="1" t="s">
        <v>67</v>
      </c>
      <c r="G86" s="17">
        <v>41257</v>
      </c>
      <c r="H86" s="1" t="s">
        <v>61</v>
      </c>
      <c r="I86" s="18">
        <v>1</v>
      </c>
      <c r="J86" s="19">
        <v>8710</v>
      </c>
      <c r="K86" s="19">
        <v>0</v>
      </c>
      <c r="L86" s="1" t="s">
        <v>62</v>
      </c>
      <c r="M86" s="17"/>
      <c r="N86" s="19">
        <f>tblKadry[[#This Row],[Wynagrodzenie_zasadnicze]]+tblKadry[[#This Row],[Dodatek_funkcyjny]]</f>
        <v>8710</v>
      </c>
      <c r="O86" s="19">
        <f>IF(OR(tblKadry[[#This Row],[Wynagrodzenie_zasadnicze]]="",tblKadry[[#This Row],[Etat]]=0),"",tblKadry[[#This Row],[Wynagrodzenie_zasadnicze]]/tblKadry[[#This Row],[Etat]])</f>
        <v>8710</v>
      </c>
      <c r="P86" s="21">
        <f>IF(AND(tblKadry[[#This Row],[Status]]="Aktywny",tblKadry[[#This Row],[Data_zatrudnienia]]&lt;=pDataRaportu),1,0)</f>
        <v>1</v>
      </c>
      <c r="Q86" s="20">
        <f>IF(tblKadry[[#This Row],[Data_zatrudnienia]]&gt;pDataRaportu,0,ROUND(YEARFRAC(tblKadry[[#This Row],[Data_zatrudnienia]],IF(tblKadry[[#This Row],[Data_zwolnienia]]="",pDataRaportu,tblKadry[[#This Row],[Data_zwolnienia]])),1))</f>
        <v>13.8</v>
      </c>
      <c r="R86" s="19">
        <f>tblKadry[[#This Row],[Brutto_mies]]*(1+pNarzut)</f>
        <v>10624.458000000001</v>
      </c>
      <c r="S86" s="19">
        <f>_xlfn.XLOOKUP(tblKadry[[#This Row],[Grupa]],tblWidelki[Grupa],tblWidelki[Środek],"")</f>
        <v>8500</v>
      </c>
      <c r="T86" s="18">
        <f>IF(tblKadry[[#This Row],[Stawka_pełny_etat]]="","",tblKadry[[#This Row],[Stawka_pełny_etat]]/tblKadry[[#This Row],[Środek_widełek]])</f>
        <v>1.0247058823529411</v>
      </c>
      <c r="U8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7" spans="1:22" x14ac:dyDescent="0.3">
      <c r="A87" s="1" t="s">
        <v>220</v>
      </c>
      <c r="B87" s="1" t="s">
        <v>38</v>
      </c>
      <c r="C87" s="1" t="s">
        <v>44</v>
      </c>
      <c r="D87" s="1" t="s">
        <v>97</v>
      </c>
      <c r="E87" s="1" t="s">
        <v>28</v>
      </c>
      <c r="F87" s="1" t="s">
        <v>67</v>
      </c>
      <c r="G87" s="17">
        <v>42111</v>
      </c>
      <c r="H87" s="1" t="s">
        <v>61</v>
      </c>
      <c r="I87" s="18">
        <v>1</v>
      </c>
      <c r="J87" s="19">
        <v>8690</v>
      </c>
      <c r="K87" s="19">
        <v>0</v>
      </c>
      <c r="L87" s="1" t="s">
        <v>62</v>
      </c>
      <c r="M87" s="17"/>
      <c r="N87" s="19">
        <f>tblKadry[[#This Row],[Wynagrodzenie_zasadnicze]]+tblKadry[[#This Row],[Dodatek_funkcyjny]]</f>
        <v>8690</v>
      </c>
      <c r="O87" s="19">
        <f>IF(OR(tblKadry[[#This Row],[Wynagrodzenie_zasadnicze]]="",tblKadry[[#This Row],[Etat]]=0),"",tblKadry[[#This Row],[Wynagrodzenie_zasadnicze]]/tblKadry[[#This Row],[Etat]])</f>
        <v>8690</v>
      </c>
      <c r="P87" s="21">
        <f>IF(AND(tblKadry[[#This Row],[Status]]="Aktywny",tblKadry[[#This Row],[Data_zatrudnienia]]&lt;=pDataRaportu),1,0)</f>
        <v>1</v>
      </c>
      <c r="Q87" s="20">
        <f>IF(tblKadry[[#This Row],[Data_zatrudnienia]]&gt;pDataRaportu,0,ROUND(YEARFRAC(tblKadry[[#This Row],[Data_zatrudnienia]],IF(tblKadry[[#This Row],[Data_zwolnienia]]="",pDataRaportu,tblKadry[[#This Row],[Data_zwolnienia]])),1))</f>
        <v>11.5</v>
      </c>
      <c r="R87" s="19">
        <f>tblKadry[[#This Row],[Brutto_mies]]*(1+pNarzut)</f>
        <v>10600.062</v>
      </c>
      <c r="S87" s="19">
        <f>_xlfn.XLOOKUP(tblKadry[[#This Row],[Grupa]],tblWidelki[Grupa],tblWidelki[Środek],"")</f>
        <v>8500</v>
      </c>
      <c r="T87" s="18">
        <f>IF(tblKadry[[#This Row],[Stawka_pełny_etat]]="","",tblKadry[[#This Row],[Stawka_pełny_etat]]/tblKadry[[#This Row],[Środek_widełek]])</f>
        <v>1.0223529411764707</v>
      </c>
      <c r="U8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8" spans="1:22" x14ac:dyDescent="0.3">
      <c r="A88" s="1" t="s">
        <v>176</v>
      </c>
      <c r="B88" s="1" t="s">
        <v>38</v>
      </c>
      <c r="C88" s="1" t="s">
        <v>43</v>
      </c>
      <c r="D88" s="1" t="s">
        <v>66</v>
      </c>
      <c r="E88" s="1" t="s">
        <v>28</v>
      </c>
      <c r="F88" s="1" t="s">
        <v>67</v>
      </c>
      <c r="G88" s="17">
        <v>41047</v>
      </c>
      <c r="H88" s="1" t="s">
        <v>61</v>
      </c>
      <c r="I88" s="18">
        <v>1</v>
      </c>
      <c r="J88" s="19">
        <v>8680</v>
      </c>
      <c r="K88" s="19">
        <v>0</v>
      </c>
      <c r="L88" s="1" t="s">
        <v>62</v>
      </c>
      <c r="M88" s="17"/>
      <c r="N88" s="19">
        <f>tblKadry[[#This Row],[Wynagrodzenie_zasadnicze]]+tblKadry[[#This Row],[Dodatek_funkcyjny]]</f>
        <v>8680</v>
      </c>
      <c r="O88" s="19">
        <f>IF(OR(tblKadry[[#This Row],[Wynagrodzenie_zasadnicze]]="",tblKadry[[#This Row],[Etat]]=0),"",tblKadry[[#This Row],[Wynagrodzenie_zasadnicze]]/tblKadry[[#This Row],[Etat]])</f>
        <v>8680</v>
      </c>
      <c r="P88" s="21">
        <f>IF(AND(tblKadry[[#This Row],[Status]]="Aktywny",tblKadry[[#This Row],[Data_zatrudnienia]]&lt;=pDataRaportu),1,0)</f>
        <v>1</v>
      </c>
      <c r="Q88" s="20">
        <f>IF(tblKadry[[#This Row],[Data_zatrudnienia]]&gt;pDataRaportu,0,ROUND(YEARFRAC(tblKadry[[#This Row],[Data_zatrudnienia]],IF(tblKadry[[#This Row],[Data_zwolnienia]]="",pDataRaportu,tblKadry[[#This Row],[Data_zwolnienia]])),1))</f>
        <v>14.4</v>
      </c>
      <c r="R88" s="19">
        <f>tblKadry[[#This Row],[Brutto_mies]]*(1+pNarzut)</f>
        <v>10587.864</v>
      </c>
      <c r="S88" s="19">
        <f>_xlfn.XLOOKUP(tblKadry[[#This Row],[Grupa]],tblWidelki[Grupa],tblWidelki[Środek],"")</f>
        <v>8500</v>
      </c>
      <c r="T88" s="18">
        <f>IF(tblKadry[[#This Row],[Stawka_pełny_etat]]="","",tblKadry[[#This Row],[Stawka_pełny_etat]]/tblKadry[[#This Row],[Środek_widełek]])</f>
        <v>1.0211764705882354</v>
      </c>
      <c r="U8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89" spans="1:22" x14ac:dyDescent="0.3">
      <c r="A89" s="1" t="s">
        <v>245</v>
      </c>
      <c r="B89" s="1" t="s">
        <v>38</v>
      </c>
      <c r="C89" s="1" t="s">
        <v>43</v>
      </c>
      <c r="D89" s="1" t="s">
        <v>66</v>
      </c>
      <c r="E89" s="1" t="s">
        <v>28</v>
      </c>
      <c r="F89" s="1" t="s">
        <v>60</v>
      </c>
      <c r="G89" s="17">
        <v>44099</v>
      </c>
      <c r="H89" s="1" t="s">
        <v>61</v>
      </c>
      <c r="I89" s="18">
        <v>1</v>
      </c>
      <c r="J89" s="19">
        <v>8660</v>
      </c>
      <c r="K89" s="19">
        <v>0</v>
      </c>
      <c r="L89" s="1" t="s">
        <v>62</v>
      </c>
      <c r="M89" s="17"/>
      <c r="N89" s="19">
        <f>tblKadry[[#This Row],[Wynagrodzenie_zasadnicze]]+tblKadry[[#This Row],[Dodatek_funkcyjny]]</f>
        <v>8660</v>
      </c>
      <c r="O89" s="19">
        <f>IF(OR(tblKadry[[#This Row],[Wynagrodzenie_zasadnicze]]="",tblKadry[[#This Row],[Etat]]=0),"",tblKadry[[#This Row],[Wynagrodzenie_zasadnicze]]/tblKadry[[#This Row],[Etat]])</f>
        <v>8660</v>
      </c>
      <c r="P89" s="21">
        <f>IF(AND(tblKadry[[#This Row],[Status]]="Aktywny",tblKadry[[#This Row],[Data_zatrudnienia]]&lt;=pDataRaportu),1,0)</f>
        <v>1</v>
      </c>
      <c r="Q89" s="20">
        <f>IF(tblKadry[[#This Row],[Data_zatrudnienia]]&gt;pDataRaportu,0,ROUND(YEARFRAC(tblKadry[[#This Row],[Data_zatrudnienia]],IF(tblKadry[[#This Row],[Data_zwolnienia]]="",pDataRaportu,tblKadry[[#This Row],[Data_zwolnienia]])),1))</f>
        <v>6</v>
      </c>
      <c r="R89" s="19">
        <f>tblKadry[[#This Row],[Brutto_mies]]*(1+pNarzut)</f>
        <v>10563.468000000001</v>
      </c>
      <c r="S89" s="19">
        <f>_xlfn.XLOOKUP(tblKadry[[#This Row],[Grupa]],tblWidelki[Grupa],tblWidelki[Środek],"")</f>
        <v>8500</v>
      </c>
      <c r="T89" s="18">
        <f>IF(tblKadry[[#This Row],[Stawka_pełny_etat]]="","",tblKadry[[#This Row],[Stawka_pełny_etat]]/tblKadry[[#This Row],[Środek_widełek]])</f>
        <v>1.0188235294117647</v>
      </c>
      <c r="U8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8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0" spans="1:22" x14ac:dyDescent="0.3">
      <c r="A90" s="1" t="s">
        <v>84</v>
      </c>
      <c r="B90" s="1" t="s">
        <v>41</v>
      </c>
      <c r="D90" s="1" t="s">
        <v>64</v>
      </c>
      <c r="E90" s="1" t="s">
        <v>28</v>
      </c>
      <c r="F90" s="1" t="s">
        <v>67</v>
      </c>
      <c r="G90" s="17">
        <v>42313</v>
      </c>
      <c r="H90" s="1" t="s">
        <v>61</v>
      </c>
      <c r="I90" s="18">
        <v>1</v>
      </c>
      <c r="J90" s="19">
        <v>8640</v>
      </c>
      <c r="K90" s="19">
        <v>0</v>
      </c>
      <c r="L90" s="1" t="s">
        <v>62</v>
      </c>
      <c r="M90" s="17"/>
      <c r="N90" s="19">
        <f>tblKadry[[#This Row],[Wynagrodzenie_zasadnicze]]+tblKadry[[#This Row],[Dodatek_funkcyjny]]</f>
        <v>8640</v>
      </c>
      <c r="O90" s="19">
        <f>IF(OR(tblKadry[[#This Row],[Wynagrodzenie_zasadnicze]]="",tblKadry[[#This Row],[Etat]]=0),"",tblKadry[[#This Row],[Wynagrodzenie_zasadnicze]]/tblKadry[[#This Row],[Etat]])</f>
        <v>8640</v>
      </c>
      <c r="P90" s="21">
        <f>IF(AND(tblKadry[[#This Row],[Status]]="Aktywny",tblKadry[[#This Row],[Data_zatrudnienia]]&lt;=pDataRaportu),1,0)</f>
        <v>1</v>
      </c>
      <c r="Q90" s="20">
        <f>IF(tblKadry[[#This Row],[Data_zatrudnienia]]&gt;pDataRaportu,0,ROUND(YEARFRAC(tblKadry[[#This Row],[Data_zatrudnienia]],IF(tblKadry[[#This Row],[Data_zwolnienia]]="",pDataRaportu,tblKadry[[#This Row],[Data_zwolnienia]])),1))</f>
        <v>10.9</v>
      </c>
      <c r="R90" s="19">
        <f>tblKadry[[#This Row],[Brutto_mies]]*(1+pNarzut)</f>
        <v>10539.072</v>
      </c>
      <c r="S90" s="19">
        <f>_xlfn.XLOOKUP(tblKadry[[#This Row],[Grupa]],tblWidelki[Grupa],tblWidelki[Środek],"")</f>
        <v>8500</v>
      </c>
      <c r="T90" s="18">
        <f>IF(tblKadry[[#This Row],[Stawka_pełny_etat]]="","",tblKadry[[#This Row],[Stawka_pełny_etat]]/tblKadry[[#This Row],[Środek_widełek]])</f>
        <v>1.016470588235294</v>
      </c>
      <c r="U9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Brak działu</v>
      </c>
    </row>
    <row r="91" spans="1:22" x14ac:dyDescent="0.3">
      <c r="A91" s="1" t="s">
        <v>210</v>
      </c>
      <c r="B91" s="1" t="s">
        <v>39</v>
      </c>
      <c r="C91" s="1" t="s">
        <v>45</v>
      </c>
      <c r="D91" s="1" t="s">
        <v>66</v>
      </c>
      <c r="E91" s="1" t="s">
        <v>28</v>
      </c>
      <c r="F91" s="1" t="s">
        <v>67</v>
      </c>
      <c r="G91" s="17">
        <v>44427</v>
      </c>
      <c r="H91" s="1" t="s">
        <v>61</v>
      </c>
      <c r="I91" s="18">
        <v>1</v>
      </c>
      <c r="J91" s="19">
        <v>8620</v>
      </c>
      <c r="K91" s="19">
        <v>0</v>
      </c>
      <c r="L91" s="1" t="s">
        <v>62</v>
      </c>
      <c r="M91" s="17"/>
      <c r="N91" s="19">
        <f>tblKadry[[#This Row],[Wynagrodzenie_zasadnicze]]+tblKadry[[#This Row],[Dodatek_funkcyjny]]</f>
        <v>8620</v>
      </c>
      <c r="O91" s="19">
        <f>IF(OR(tblKadry[[#This Row],[Wynagrodzenie_zasadnicze]]="",tblKadry[[#This Row],[Etat]]=0),"",tblKadry[[#This Row],[Wynagrodzenie_zasadnicze]]/tblKadry[[#This Row],[Etat]])</f>
        <v>8620</v>
      </c>
      <c r="P91" s="21">
        <f>IF(AND(tblKadry[[#This Row],[Status]]="Aktywny",tblKadry[[#This Row],[Data_zatrudnienia]]&lt;=pDataRaportu),1,0)</f>
        <v>1</v>
      </c>
      <c r="Q91" s="20">
        <f>IF(tblKadry[[#This Row],[Data_zatrudnienia]]&gt;pDataRaportu,0,ROUND(YEARFRAC(tblKadry[[#This Row],[Data_zatrudnienia]],IF(tblKadry[[#This Row],[Data_zwolnienia]]="",pDataRaportu,tblKadry[[#This Row],[Data_zwolnienia]])),1))</f>
        <v>5.0999999999999996</v>
      </c>
      <c r="R91" s="19">
        <f>tblKadry[[#This Row],[Brutto_mies]]*(1+pNarzut)</f>
        <v>10514.675999999999</v>
      </c>
      <c r="S91" s="19">
        <f>_xlfn.XLOOKUP(tblKadry[[#This Row],[Grupa]],tblWidelki[Grupa],tblWidelki[Środek],"")</f>
        <v>8500</v>
      </c>
      <c r="T91" s="18">
        <f>IF(tblKadry[[#This Row],[Stawka_pełny_etat]]="","",tblKadry[[#This Row],[Stawka_pełny_etat]]/tblKadry[[#This Row],[Środek_widełek]])</f>
        <v>1.0141176470588236</v>
      </c>
      <c r="U9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2" spans="1:22" x14ac:dyDescent="0.3">
      <c r="A92" s="1" t="s">
        <v>192</v>
      </c>
      <c r="B92" s="1" t="s">
        <v>39</v>
      </c>
      <c r="C92" s="1" t="s">
        <v>45</v>
      </c>
      <c r="D92" s="1" t="s">
        <v>66</v>
      </c>
      <c r="E92" s="1" t="s">
        <v>28</v>
      </c>
      <c r="F92" s="1" t="s">
        <v>67</v>
      </c>
      <c r="G92" s="17">
        <v>44159</v>
      </c>
      <c r="H92" s="1" t="s">
        <v>61</v>
      </c>
      <c r="I92" s="18">
        <v>1</v>
      </c>
      <c r="J92" s="19">
        <v>8590</v>
      </c>
      <c r="K92" s="19">
        <v>0</v>
      </c>
      <c r="L92" s="1" t="s">
        <v>62</v>
      </c>
      <c r="M92" s="17"/>
      <c r="N92" s="19">
        <f>tblKadry[[#This Row],[Wynagrodzenie_zasadnicze]]+tblKadry[[#This Row],[Dodatek_funkcyjny]]</f>
        <v>8590</v>
      </c>
      <c r="O92" s="19">
        <f>IF(OR(tblKadry[[#This Row],[Wynagrodzenie_zasadnicze]]="",tblKadry[[#This Row],[Etat]]=0),"",tblKadry[[#This Row],[Wynagrodzenie_zasadnicze]]/tblKadry[[#This Row],[Etat]])</f>
        <v>8590</v>
      </c>
      <c r="P92" s="21">
        <f>IF(AND(tblKadry[[#This Row],[Status]]="Aktywny",tblKadry[[#This Row],[Data_zatrudnienia]]&lt;=pDataRaportu),1,0)</f>
        <v>1</v>
      </c>
      <c r="Q92" s="20">
        <f>IF(tblKadry[[#This Row],[Data_zatrudnienia]]&gt;pDataRaportu,0,ROUND(YEARFRAC(tblKadry[[#This Row],[Data_zatrudnienia]],IF(tblKadry[[#This Row],[Data_zwolnienia]]="",pDataRaportu,tblKadry[[#This Row],[Data_zwolnienia]])),1))</f>
        <v>5.9</v>
      </c>
      <c r="R92" s="19">
        <f>tblKadry[[#This Row],[Brutto_mies]]*(1+pNarzut)</f>
        <v>10478.082</v>
      </c>
      <c r="S92" s="19">
        <f>_xlfn.XLOOKUP(tblKadry[[#This Row],[Grupa]],tblWidelki[Grupa],tblWidelki[Środek],"")</f>
        <v>8500</v>
      </c>
      <c r="T92" s="18">
        <f>IF(tblKadry[[#This Row],[Stawka_pełny_etat]]="","",tblKadry[[#This Row],[Stawka_pełny_etat]]/tblKadry[[#This Row],[Środek_widełek]])</f>
        <v>1.0105882352941176</v>
      </c>
      <c r="U9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3" spans="1:22" x14ac:dyDescent="0.3">
      <c r="A93" s="1" t="s">
        <v>165</v>
      </c>
      <c r="B93" s="1" t="s">
        <v>38</v>
      </c>
      <c r="C93" s="1" t="s">
        <v>44</v>
      </c>
      <c r="D93" s="1" t="s">
        <v>125</v>
      </c>
      <c r="E93" s="1" t="s">
        <v>30</v>
      </c>
      <c r="F93" s="1" t="s">
        <v>60</v>
      </c>
      <c r="G93" s="17">
        <v>39732</v>
      </c>
      <c r="H93" s="1" t="s">
        <v>68</v>
      </c>
      <c r="I93" s="18">
        <v>1</v>
      </c>
      <c r="J93" s="19">
        <v>8510</v>
      </c>
      <c r="K93" s="19">
        <v>0</v>
      </c>
      <c r="L93" s="1" t="s">
        <v>83</v>
      </c>
      <c r="M93" s="17">
        <v>46019</v>
      </c>
      <c r="N93" s="19">
        <f>tblKadry[[#This Row],[Wynagrodzenie_zasadnicze]]+tblKadry[[#This Row],[Dodatek_funkcyjny]]</f>
        <v>8510</v>
      </c>
      <c r="O93" s="19">
        <f>IF(OR(tblKadry[[#This Row],[Wynagrodzenie_zasadnicze]]="",tblKadry[[#This Row],[Etat]]=0),"",tblKadry[[#This Row],[Wynagrodzenie_zasadnicze]]/tblKadry[[#This Row],[Etat]])</f>
        <v>8510</v>
      </c>
      <c r="P93" s="21">
        <f>IF(AND(tblKadry[[#This Row],[Status]]="Aktywny",tblKadry[[#This Row],[Data_zatrudnienia]]&lt;=pDataRaportu),1,0)</f>
        <v>0</v>
      </c>
      <c r="Q93" s="20">
        <f>IF(tblKadry[[#This Row],[Data_zatrudnienia]]&gt;pDataRaportu,0,ROUND(YEARFRAC(tblKadry[[#This Row],[Data_zatrudnienia]],IF(tblKadry[[#This Row],[Data_zwolnienia]]="",pDataRaportu,tblKadry[[#This Row],[Data_zwolnienia]])),1))</f>
        <v>17.2</v>
      </c>
      <c r="R93" s="19">
        <f>tblKadry[[#This Row],[Brutto_mies]]*(1+pNarzut)</f>
        <v>10380.498</v>
      </c>
      <c r="S93" s="19">
        <f>_xlfn.XLOOKUP(tblKadry[[#This Row],[Grupa]],tblWidelki[Grupa],tblWidelki[Środek],"")</f>
        <v>11000</v>
      </c>
      <c r="T93" s="18">
        <f>IF(tblKadry[[#This Row],[Stawka_pełny_etat]]="","",tblKadry[[#This Row],[Stawka_pełny_etat]]/tblKadry[[#This Row],[Środek_widełek]])</f>
        <v>0.77363636363636368</v>
      </c>
      <c r="U9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9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4" spans="1:22" x14ac:dyDescent="0.3">
      <c r="A94" s="1" t="s">
        <v>184</v>
      </c>
      <c r="B94" s="1" t="s">
        <v>39</v>
      </c>
      <c r="C94" s="1" t="s">
        <v>45</v>
      </c>
      <c r="D94" s="1" t="s">
        <v>66</v>
      </c>
      <c r="E94" s="1" t="s">
        <v>28</v>
      </c>
      <c r="F94" s="1" t="s">
        <v>67</v>
      </c>
      <c r="G94" s="17">
        <v>43547</v>
      </c>
      <c r="H94" s="1" t="s">
        <v>61</v>
      </c>
      <c r="I94" s="18">
        <v>0.5</v>
      </c>
      <c r="J94" s="19">
        <v>4240</v>
      </c>
      <c r="K94" s="19">
        <v>0</v>
      </c>
      <c r="L94" s="1" t="s">
        <v>62</v>
      </c>
      <c r="M94" s="17"/>
      <c r="N94" s="19">
        <f>tblKadry[[#This Row],[Wynagrodzenie_zasadnicze]]+tblKadry[[#This Row],[Dodatek_funkcyjny]]</f>
        <v>4240</v>
      </c>
      <c r="O94" s="19">
        <f>IF(OR(tblKadry[[#This Row],[Wynagrodzenie_zasadnicze]]="",tblKadry[[#This Row],[Etat]]=0),"",tblKadry[[#This Row],[Wynagrodzenie_zasadnicze]]/tblKadry[[#This Row],[Etat]])</f>
        <v>8480</v>
      </c>
      <c r="P94" s="21">
        <f>IF(AND(tblKadry[[#This Row],[Status]]="Aktywny",tblKadry[[#This Row],[Data_zatrudnienia]]&lt;=pDataRaportu),1,0)</f>
        <v>1</v>
      </c>
      <c r="Q94" s="20">
        <f>IF(tblKadry[[#This Row],[Data_zatrudnienia]]&gt;pDataRaportu,0,ROUND(YEARFRAC(tblKadry[[#This Row],[Data_zatrudnienia]],IF(tblKadry[[#This Row],[Data_zwolnienia]]="",pDataRaportu,tblKadry[[#This Row],[Data_zwolnienia]])),1))</f>
        <v>7.5</v>
      </c>
      <c r="R94" s="19">
        <f>tblKadry[[#This Row],[Brutto_mies]]*(1+pNarzut)</f>
        <v>5171.9520000000002</v>
      </c>
      <c r="S94" s="19">
        <f>_xlfn.XLOOKUP(tblKadry[[#This Row],[Grupa]],tblWidelki[Grupa],tblWidelki[Środek],"")</f>
        <v>8500</v>
      </c>
      <c r="T94" s="18">
        <f>IF(tblKadry[[#This Row],[Stawka_pełny_etat]]="","",tblKadry[[#This Row],[Stawka_pełny_etat]]/tblKadry[[#This Row],[Środek_widełek]])</f>
        <v>0.99764705882352944</v>
      </c>
      <c r="U9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5" spans="1:22" x14ac:dyDescent="0.3">
      <c r="A95" s="1" t="s">
        <v>161</v>
      </c>
      <c r="B95" s="1" t="s">
        <v>41</v>
      </c>
      <c r="C95" s="1" t="s">
        <v>43</v>
      </c>
      <c r="D95" s="1" t="s">
        <v>88</v>
      </c>
      <c r="E95" s="1" t="s">
        <v>30</v>
      </c>
      <c r="F95" s="1" t="s">
        <v>67</v>
      </c>
      <c r="G95" s="17">
        <v>46327</v>
      </c>
      <c r="H95" s="1" t="s">
        <v>61</v>
      </c>
      <c r="I95" s="18">
        <v>1</v>
      </c>
      <c r="J95" s="19">
        <v>8470</v>
      </c>
      <c r="K95" s="19">
        <v>2500</v>
      </c>
      <c r="L95" s="1" t="s">
        <v>62</v>
      </c>
      <c r="M95" s="17"/>
      <c r="N95" s="19">
        <f>tblKadry[[#This Row],[Wynagrodzenie_zasadnicze]]+tblKadry[[#This Row],[Dodatek_funkcyjny]]</f>
        <v>10970</v>
      </c>
      <c r="O95" s="19">
        <f>IF(OR(tblKadry[[#This Row],[Wynagrodzenie_zasadnicze]]="",tblKadry[[#This Row],[Etat]]=0),"",tblKadry[[#This Row],[Wynagrodzenie_zasadnicze]]/tblKadry[[#This Row],[Etat]])</f>
        <v>8470</v>
      </c>
      <c r="P95" s="21">
        <f>IF(AND(tblKadry[[#This Row],[Status]]="Aktywny",tblKadry[[#This Row],[Data_zatrudnienia]]&lt;=pDataRaportu),1,0)</f>
        <v>0</v>
      </c>
      <c r="Q95" s="20">
        <f>IF(tblKadry[[#This Row],[Data_zatrudnienia]]&gt;pDataRaportu,0,ROUND(YEARFRAC(tblKadry[[#This Row],[Data_zatrudnienia]],IF(tblKadry[[#This Row],[Data_zwolnienia]]="",pDataRaportu,tblKadry[[#This Row],[Data_zwolnienia]])),1))</f>
        <v>0</v>
      </c>
      <c r="R95" s="19">
        <f>tblKadry[[#This Row],[Brutto_mies]]*(1+pNarzut)</f>
        <v>13381.206</v>
      </c>
      <c r="S95" s="19">
        <f>_xlfn.XLOOKUP(tblKadry[[#This Row],[Grupa]],tblWidelki[Grupa],tblWidelki[Środek],"")</f>
        <v>11000</v>
      </c>
      <c r="T95" s="18">
        <f>IF(tblKadry[[#This Row],[Stawka_pełny_etat]]="","",tblKadry[[#This Row],[Stawka_pełny_etat]]/tblKadry[[#This Row],[Środek_widełek]])</f>
        <v>0.77</v>
      </c>
      <c r="U9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9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Data zatrudnienia w przyszłości</v>
      </c>
    </row>
    <row r="96" spans="1:22" x14ac:dyDescent="0.3">
      <c r="A96" s="1" t="s">
        <v>112</v>
      </c>
      <c r="B96" s="1" t="s">
        <v>41</v>
      </c>
      <c r="C96" s="1" t="s">
        <v>44</v>
      </c>
      <c r="D96" s="1" t="s">
        <v>97</v>
      </c>
      <c r="E96" s="1" t="s">
        <v>28</v>
      </c>
      <c r="F96" s="1" t="s">
        <v>67</v>
      </c>
      <c r="G96" s="17">
        <v>42373</v>
      </c>
      <c r="H96" s="1" t="s">
        <v>61</v>
      </c>
      <c r="I96" s="18">
        <v>1</v>
      </c>
      <c r="J96" s="19">
        <v>8470</v>
      </c>
      <c r="K96" s="19">
        <v>0</v>
      </c>
      <c r="L96" s="1" t="s">
        <v>62</v>
      </c>
      <c r="M96" s="17"/>
      <c r="N96" s="19">
        <f>tblKadry[[#This Row],[Wynagrodzenie_zasadnicze]]+tblKadry[[#This Row],[Dodatek_funkcyjny]]</f>
        <v>8470</v>
      </c>
      <c r="O96" s="19">
        <f>IF(OR(tblKadry[[#This Row],[Wynagrodzenie_zasadnicze]]="",tblKadry[[#This Row],[Etat]]=0),"",tblKadry[[#This Row],[Wynagrodzenie_zasadnicze]]/tblKadry[[#This Row],[Etat]])</f>
        <v>8470</v>
      </c>
      <c r="P96" s="21">
        <f>IF(AND(tblKadry[[#This Row],[Status]]="Aktywny",tblKadry[[#This Row],[Data_zatrudnienia]]&lt;=pDataRaportu),1,0)</f>
        <v>1</v>
      </c>
      <c r="Q96" s="20">
        <f>IF(tblKadry[[#This Row],[Data_zatrudnienia]]&gt;pDataRaportu,0,ROUND(YEARFRAC(tblKadry[[#This Row],[Data_zatrudnienia]],IF(tblKadry[[#This Row],[Data_zwolnienia]]="",pDataRaportu,tblKadry[[#This Row],[Data_zwolnienia]])),1))</f>
        <v>10.7</v>
      </c>
      <c r="R96" s="19">
        <f>tblKadry[[#This Row],[Brutto_mies]]*(1+pNarzut)</f>
        <v>10331.706</v>
      </c>
      <c r="S96" s="19">
        <f>_xlfn.XLOOKUP(tblKadry[[#This Row],[Grupa]],tblWidelki[Grupa],tblWidelki[Środek],"")</f>
        <v>8500</v>
      </c>
      <c r="T96" s="18">
        <f>IF(tblKadry[[#This Row],[Stawka_pełny_etat]]="","",tblKadry[[#This Row],[Stawka_pełny_etat]]/tblKadry[[#This Row],[Środek_widełek]])</f>
        <v>0.99647058823529411</v>
      </c>
      <c r="U9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7" spans="1:22" x14ac:dyDescent="0.3">
      <c r="A97" s="1" t="s">
        <v>105</v>
      </c>
      <c r="B97" s="1" t="s">
        <v>38</v>
      </c>
      <c r="C97" s="1" t="s">
        <v>44</v>
      </c>
      <c r="D97" s="1" t="s">
        <v>97</v>
      </c>
      <c r="E97" s="1" t="s">
        <v>28</v>
      </c>
      <c r="F97" s="1" t="s">
        <v>67</v>
      </c>
      <c r="G97" s="17">
        <v>41921</v>
      </c>
      <c r="H97" s="1" t="s">
        <v>61</v>
      </c>
      <c r="I97" s="18">
        <v>0.5</v>
      </c>
      <c r="J97" s="19">
        <v>4225</v>
      </c>
      <c r="K97" s="19">
        <v>0</v>
      </c>
      <c r="L97" s="1" t="s">
        <v>62</v>
      </c>
      <c r="M97" s="17"/>
      <c r="N97" s="19">
        <f>tblKadry[[#This Row],[Wynagrodzenie_zasadnicze]]+tblKadry[[#This Row],[Dodatek_funkcyjny]]</f>
        <v>4225</v>
      </c>
      <c r="O97" s="19">
        <f>IF(OR(tblKadry[[#This Row],[Wynagrodzenie_zasadnicze]]="",tblKadry[[#This Row],[Etat]]=0),"",tblKadry[[#This Row],[Wynagrodzenie_zasadnicze]]/tblKadry[[#This Row],[Etat]])</f>
        <v>8450</v>
      </c>
      <c r="P97" s="21">
        <f>IF(AND(tblKadry[[#This Row],[Status]]="Aktywny",tblKadry[[#This Row],[Data_zatrudnienia]]&lt;=pDataRaportu),1,0)</f>
        <v>1</v>
      </c>
      <c r="Q97" s="20">
        <f>IF(tblKadry[[#This Row],[Data_zatrudnienia]]&gt;pDataRaportu,0,ROUND(YEARFRAC(tblKadry[[#This Row],[Data_zatrudnienia]],IF(tblKadry[[#This Row],[Data_zwolnienia]]="",pDataRaportu,tblKadry[[#This Row],[Data_zwolnienia]])),1))</f>
        <v>12</v>
      </c>
      <c r="R97" s="19">
        <f>tblKadry[[#This Row],[Brutto_mies]]*(1+pNarzut)</f>
        <v>5153.6549999999997</v>
      </c>
      <c r="S97" s="19">
        <f>_xlfn.XLOOKUP(tblKadry[[#This Row],[Grupa]],tblWidelki[Grupa],tblWidelki[Środek],"")</f>
        <v>8500</v>
      </c>
      <c r="T97" s="18">
        <f>IF(tblKadry[[#This Row],[Stawka_pełny_etat]]="","",tblKadry[[#This Row],[Stawka_pełny_etat]]/tblKadry[[#This Row],[Środek_widełek]])</f>
        <v>0.99411764705882355</v>
      </c>
      <c r="U9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8" spans="1:22" x14ac:dyDescent="0.3">
      <c r="A98" s="1" t="s">
        <v>133</v>
      </c>
      <c r="B98" s="1" t="s">
        <v>38</v>
      </c>
      <c r="C98" s="1" t="s">
        <v>43</v>
      </c>
      <c r="D98" s="1" t="s">
        <v>66</v>
      </c>
      <c r="E98" s="1" t="s">
        <v>28</v>
      </c>
      <c r="F98" s="1" t="s">
        <v>67</v>
      </c>
      <c r="G98" s="17">
        <v>44920</v>
      </c>
      <c r="H98" s="1" t="s">
        <v>61</v>
      </c>
      <c r="I98" s="18">
        <v>1</v>
      </c>
      <c r="J98" s="19">
        <v>8430</v>
      </c>
      <c r="K98" s="19">
        <v>0</v>
      </c>
      <c r="L98" s="1" t="s">
        <v>62</v>
      </c>
      <c r="M98" s="17"/>
      <c r="N98" s="19">
        <f>tblKadry[[#This Row],[Wynagrodzenie_zasadnicze]]+tblKadry[[#This Row],[Dodatek_funkcyjny]]</f>
        <v>8430</v>
      </c>
      <c r="O98" s="19">
        <f>IF(OR(tblKadry[[#This Row],[Wynagrodzenie_zasadnicze]]="",tblKadry[[#This Row],[Etat]]=0),"",tblKadry[[#This Row],[Wynagrodzenie_zasadnicze]]/tblKadry[[#This Row],[Etat]])</f>
        <v>8430</v>
      </c>
      <c r="P98" s="21">
        <f>IF(AND(tblKadry[[#This Row],[Status]]="Aktywny",tblKadry[[#This Row],[Data_zatrudnienia]]&lt;=pDataRaportu),1,0)</f>
        <v>1</v>
      </c>
      <c r="Q98" s="20">
        <f>IF(tblKadry[[#This Row],[Data_zatrudnienia]]&gt;pDataRaportu,0,ROUND(YEARFRAC(tblKadry[[#This Row],[Data_zatrudnienia]],IF(tblKadry[[#This Row],[Data_zwolnienia]]="",pDataRaportu,tblKadry[[#This Row],[Data_zwolnienia]])),1))</f>
        <v>3.8</v>
      </c>
      <c r="R98" s="19">
        <f>tblKadry[[#This Row],[Brutto_mies]]*(1+pNarzut)</f>
        <v>10282.914000000001</v>
      </c>
      <c r="S98" s="19">
        <f>_xlfn.XLOOKUP(tblKadry[[#This Row],[Grupa]],tblWidelki[Grupa],tblWidelki[Środek],"")</f>
        <v>8500</v>
      </c>
      <c r="T98" s="18">
        <f>IF(tblKadry[[#This Row],[Stawka_pełny_etat]]="","",tblKadry[[#This Row],[Stawka_pełny_etat]]/tblKadry[[#This Row],[Środek_widełek]])</f>
        <v>0.99176470588235299</v>
      </c>
      <c r="U9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99" spans="1:22" x14ac:dyDescent="0.3">
      <c r="A99" s="1" t="s">
        <v>93</v>
      </c>
      <c r="B99" s="1" t="s">
        <v>41</v>
      </c>
      <c r="C99" s="1" t="s">
        <v>47</v>
      </c>
      <c r="D99" s="1" t="s">
        <v>94</v>
      </c>
      <c r="E99" s="1" t="s">
        <v>28</v>
      </c>
      <c r="F99" s="1" t="s">
        <v>67</v>
      </c>
      <c r="G99" s="17">
        <v>40326</v>
      </c>
      <c r="H99" s="1" t="s">
        <v>61</v>
      </c>
      <c r="I99" s="18">
        <v>1</v>
      </c>
      <c r="J99" s="19">
        <v>8340</v>
      </c>
      <c r="K99" s="19">
        <v>0</v>
      </c>
      <c r="L99" s="1" t="s">
        <v>62</v>
      </c>
      <c r="M99" s="17"/>
      <c r="N99" s="19">
        <f>tblKadry[[#This Row],[Wynagrodzenie_zasadnicze]]+tblKadry[[#This Row],[Dodatek_funkcyjny]]</f>
        <v>8340</v>
      </c>
      <c r="O99" s="19">
        <f>IF(OR(tblKadry[[#This Row],[Wynagrodzenie_zasadnicze]]="",tblKadry[[#This Row],[Etat]]=0),"",tblKadry[[#This Row],[Wynagrodzenie_zasadnicze]]/tblKadry[[#This Row],[Etat]])</f>
        <v>8340</v>
      </c>
      <c r="P99" s="21">
        <f>IF(AND(tblKadry[[#This Row],[Status]]="Aktywny",tblKadry[[#This Row],[Data_zatrudnienia]]&lt;=pDataRaportu),1,0)</f>
        <v>1</v>
      </c>
      <c r="Q99" s="20">
        <f>IF(tblKadry[[#This Row],[Data_zatrudnienia]]&gt;pDataRaportu,0,ROUND(YEARFRAC(tblKadry[[#This Row],[Data_zatrudnienia]],IF(tblKadry[[#This Row],[Data_zwolnienia]]="",pDataRaportu,tblKadry[[#This Row],[Data_zwolnienia]])),1))</f>
        <v>16.3</v>
      </c>
      <c r="R99" s="19">
        <f>tblKadry[[#This Row],[Brutto_mies]]*(1+pNarzut)</f>
        <v>10173.132</v>
      </c>
      <c r="S99" s="19">
        <f>_xlfn.XLOOKUP(tblKadry[[#This Row],[Grupa]],tblWidelki[Grupa],tblWidelki[Środek],"")</f>
        <v>8500</v>
      </c>
      <c r="T99" s="18">
        <f>IF(tblKadry[[#This Row],[Stawka_pełny_etat]]="","",tblKadry[[#This Row],[Stawka_pełny_etat]]/tblKadry[[#This Row],[Środek_widełek]])</f>
        <v>0.98117647058823532</v>
      </c>
      <c r="U9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9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0" spans="1:22" x14ac:dyDescent="0.3">
      <c r="A100" s="1" t="s">
        <v>217</v>
      </c>
      <c r="B100" s="1" t="s">
        <v>40</v>
      </c>
      <c r="C100" s="1" t="s">
        <v>45</v>
      </c>
      <c r="D100" s="1" t="s">
        <v>66</v>
      </c>
      <c r="E100" s="1" t="s">
        <v>28</v>
      </c>
      <c r="F100" s="1" t="s">
        <v>67</v>
      </c>
      <c r="G100" s="17">
        <v>46078</v>
      </c>
      <c r="H100" s="1" t="s">
        <v>61</v>
      </c>
      <c r="I100" s="18">
        <v>1</v>
      </c>
      <c r="J100" s="19">
        <v>8230</v>
      </c>
      <c r="K100" s="19">
        <v>0</v>
      </c>
      <c r="L100" s="1" t="s">
        <v>62</v>
      </c>
      <c r="M100" s="17"/>
      <c r="N100" s="19">
        <f>tblKadry[[#This Row],[Wynagrodzenie_zasadnicze]]+tblKadry[[#This Row],[Dodatek_funkcyjny]]</f>
        <v>8230</v>
      </c>
      <c r="O100" s="19">
        <f>IF(OR(tblKadry[[#This Row],[Wynagrodzenie_zasadnicze]]="",tblKadry[[#This Row],[Etat]]=0),"",tblKadry[[#This Row],[Wynagrodzenie_zasadnicze]]/tblKadry[[#This Row],[Etat]])</f>
        <v>8230</v>
      </c>
      <c r="P100" s="21">
        <f>IF(AND(tblKadry[[#This Row],[Status]]="Aktywny",tblKadry[[#This Row],[Data_zatrudnienia]]&lt;=pDataRaportu),1,0)</f>
        <v>1</v>
      </c>
      <c r="Q100" s="20">
        <f>IF(tblKadry[[#This Row],[Data_zatrudnienia]]&gt;pDataRaportu,0,ROUND(YEARFRAC(tblKadry[[#This Row],[Data_zatrudnienia]],IF(tblKadry[[#This Row],[Data_zwolnienia]]="",pDataRaportu,tblKadry[[#This Row],[Data_zwolnienia]])),1))</f>
        <v>0.6</v>
      </c>
      <c r="R100" s="19">
        <f>tblKadry[[#This Row],[Brutto_mies]]*(1+pNarzut)</f>
        <v>10038.954</v>
      </c>
      <c r="S100" s="19">
        <f>_xlfn.XLOOKUP(tblKadry[[#This Row],[Grupa]],tblWidelki[Grupa],tblWidelki[Środek],"")</f>
        <v>8500</v>
      </c>
      <c r="T100" s="18">
        <f>IF(tblKadry[[#This Row],[Stawka_pełny_etat]]="","",tblKadry[[#This Row],[Stawka_pełny_etat]]/tblKadry[[#This Row],[Środek_widełek]])</f>
        <v>0.96823529411764708</v>
      </c>
      <c r="U10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1" spans="1:22" x14ac:dyDescent="0.3">
      <c r="A101" s="1" t="s">
        <v>158</v>
      </c>
      <c r="B101" s="1" t="s">
        <v>41</v>
      </c>
      <c r="C101" s="1" t="s">
        <v>46</v>
      </c>
      <c r="D101" s="1" t="s">
        <v>64</v>
      </c>
      <c r="E101" s="1" t="s">
        <v>28</v>
      </c>
      <c r="F101" s="1" t="s">
        <v>67</v>
      </c>
      <c r="G101" s="17">
        <v>46039</v>
      </c>
      <c r="H101" s="1" t="s">
        <v>61</v>
      </c>
      <c r="I101" s="18">
        <v>1</v>
      </c>
      <c r="J101" s="19">
        <v>8210</v>
      </c>
      <c r="K101" s="19">
        <v>0</v>
      </c>
      <c r="L101" s="1" t="s">
        <v>62</v>
      </c>
      <c r="M101" s="17"/>
      <c r="N101" s="19">
        <f>tblKadry[[#This Row],[Wynagrodzenie_zasadnicze]]+tblKadry[[#This Row],[Dodatek_funkcyjny]]</f>
        <v>8210</v>
      </c>
      <c r="O101" s="19">
        <f>IF(OR(tblKadry[[#This Row],[Wynagrodzenie_zasadnicze]]="",tblKadry[[#This Row],[Etat]]=0),"",tblKadry[[#This Row],[Wynagrodzenie_zasadnicze]]/tblKadry[[#This Row],[Etat]])</f>
        <v>8210</v>
      </c>
      <c r="P101" s="21">
        <f>IF(AND(tblKadry[[#This Row],[Status]]="Aktywny",tblKadry[[#This Row],[Data_zatrudnienia]]&lt;=pDataRaportu),1,0)</f>
        <v>1</v>
      </c>
      <c r="Q101" s="20">
        <f>IF(tblKadry[[#This Row],[Data_zatrudnienia]]&gt;pDataRaportu,0,ROUND(YEARFRAC(tblKadry[[#This Row],[Data_zatrudnienia]],IF(tblKadry[[#This Row],[Data_zwolnienia]]="",pDataRaportu,tblKadry[[#This Row],[Data_zwolnienia]])),1))</f>
        <v>0.7</v>
      </c>
      <c r="R101" s="19">
        <f>tblKadry[[#This Row],[Brutto_mies]]*(1+pNarzut)</f>
        <v>10014.557999999999</v>
      </c>
      <c r="S101" s="19">
        <f>_xlfn.XLOOKUP(tblKadry[[#This Row],[Grupa]],tblWidelki[Grupa],tblWidelki[Środek],"")</f>
        <v>8500</v>
      </c>
      <c r="T101" s="18">
        <f>IF(tblKadry[[#This Row],[Stawka_pełny_etat]]="","",tblKadry[[#This Row],[Stawka_pełny_etat]]/tblKadry[[#This Row],[Środek_widełek]])</f>
        <v>0.96588235294117653</v>
      </c>
      <c r="U10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2" spans="1:22" x14ac:dyDescent="0.3">
      <c r="A102" s="1" t="s">
        <v>173</v>
      </c>
      <c r="B102" s="1" t="s">
        <v>38</v>
      </c>
      <c r="C102" s="1" t="s">
        <v>44</v>
      </c>
      <c r="D102" s="1" t="s">
        <v>97</v>
      </c>
      <c r="E102" s="1" t="s">
        <v>28</v>
      </c>
      <c r="F102" s="1" t="s">
        <v>67</v>
      </c>
      <c r="G102" s="17">
        <v>42421</v>
      </c>
      <c r="H102" s="1" t="s">
        <v>61</v>
      </c>
      <c r="I102" s="18">
        <v>1</v>
      </c>
      <c r="J102" s="19">
        <v>8160</v>
      </c>
      <c r="K102" s="19">
        <v>0</v>
      </c>
      <c r="L102" s="1" t="s">
        <v>62</v>
      </c>
      <c r="M102" s="17"/>
      <c r="N102" s="19">
        <f>tblKadry[[#This Row],[Wynagrodzenie_zasadnicze]]+tblKadry[[#This Row],[Dodatek_funkcyjny]]</f>
        <v>8160</v>
      </c>
      <c r="O102" s="19">
        <f>IF(OR(tblKadry[[#This Row],[Wynagrodzenie_zasadnicze]]="",tblKadry[[#This Row],[Etat]]=0),"",tblKadry[[#This Row],[Wynagrodzenie_zasadnicze]]/tblKadry[[#This Row],[Etat]])</f>
        <v>8160</v>
      </c>
      <c r="P102" s="21">
        <f>IF(AND(tblKadry[[#This Row],[Status]]="Aktywny",tblKadry[[#This Row],[Data_zatrudnienia]]&lt;=pDataRaportu),1,0)</f>
        <v>1</v>
      </c>
      <c r="Q102" s="20">
        <f>IF(tblKadry[[#This Row],[Data_zatrudnienia]]&gt;pDataRaportu,0,ROUND(YEARFRAC(tblKadry[[#This Row],[Data_zatrudnienia]],IF(tblKadry[[#This Row],[Data_zwolnienia]]="",pDataRaportu,tblKadry[[#This Row],[Data_zwolnienia]])),1))</f>
        <v>10.6</v>
      </c>
      <c r="R102" s="19">
        <f>tblKadry[[#This Row],[Brutto_mies]]*(1+pNarzut)</f>
        <v>9953.5679999999993</v>
      </c>
      <c r="S102" s="19">
        <f>_xlfn.XLOOKUP(tblKadry[[#This Row],[Grupa]],tblWidelki[Grupa],tblWidelki[Środek],"")</f>
        <v>8500</v>
      </c>
      <c r="T102" s="18">
        <f>IF(tblKadry[[#This Row],[Stawka_pełny_etat]]="","",tblKadry[[#This Row],[Stawka_pełny_etat]]/tblKadry[[#This Row],[Środek_widełek]])</f>
        <v>0.96</v>
      </c>
      <c r="U10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3" spans="1:22" x14ac:dyDescent="0.3">
      <c r="A103" s="1" t="s">
        <v>231</v>
      </c>
      <c r="B103" s="1" t="s">
        <v>38</v>
      </c>
      <c r="C103" s="1" t="s">
        <v>44</v>
      </c>
      <c r="D103" s="1" t="s">
        <v>97</v>
      </c>
      <c r="E103" s="1" t="s">
        <v>28</v>
      </c>
      <c r="F103" s="1" t="s">
        <v>67</v>
      </c>
      <c r="G103" s="17">
        <v>42046</v>
      </c>
      <c r="H103" s="1" t="s">
        <v>61</v>
      </c>
      <c r="I103" s="18">
        <v>1</v>
      </c>
      <c r="J103" s="19">
        <v>8140</v>
      </c>
      <c r="K103" s="19">
        <v>0</v>
      </c>
      <c r="L103" s="1" t="s">
        <v>62</v>
      </c>
      <c r="M103" s="17"/>
      <c r="N103" s="19">
        <f>tblKadry[[#This Row],[Wynagrodzenie_zasadnicze]]+tblKadry[[#This Row],[Dodatek_funkcyjny]]</f>
        <v>8140</v>
      </c>
      <c r="O103" s="19">
        <f>IF(OR(tblKadry[[#This Row],[Wynagrodzenie_zasadnicze]]="",tblKadry[[#This Row],[Etat]]=0),"",tblKadry[[#This Row],[Wynagrodzenie_zasadnicze]]/tblKadry[[#This Row],[Etat]])</f>
        <v>8140</v>
      </c>
      <c r="P103" s="21">
        <f>IF(AND(tblKadry[[#This Row],[Status]]="Aktywny",tblKadry[[#This Row],[Data_zatrudnienia]]&lt;=pDataRaportu),1,0)</f>
        <v>1</v>
      </c>
      <c r="Q103" s="20">
        <f>IF(tblKadry[[#This Row],[Data_zatrudnienia]]&gt;pDataRaportu,0,ROUND(YEARFRAC(tblKadry[[#This Row],[Data_zatrudnienia]],IF(tblKadry[[#This Row],[Data_zwolnienia]]="",pDataRaportu,tblKadry[[#This Row],[Data_zwolnienia]])),1))</f>
        <v>11.6</v>
      </c>
      <c r="R103" s="19">
        <f>tblKadry[[#This Row],[Brutto_mies]]*(1+pNarzut)</f>
        <v>9929.1720000000005</v>
      </c>
      <c r="S103" s="19">
        <f>_xlfn.XLOOKUP(tblKadry[[#This Row],[Grupa]],tblWidelki[Grupa],tblWidelki[Środek],"")</f>
        <v>8500</v>
      </c>
      <c r="T103" s="18">
        <f>IF(tblKadry[[#This Row],[Stawka_pełny_etat]]="","",tblKadry[[#This Row],[Stawka_pełny_etat]]/tblKadry[[#This Row],[Środek_widełek]])</f>
        <v>0.95764705882352941</v>
      </c>
      <c r="U10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4" spans="1:22" x14ac:dyDescent="0.3">
      <c r="A104" s="1" t="s">
        <v>122</v>
      </c>
      <c r="B104" s="1" t="s">
        <v>39</v>
      </c>
      <c r="C104" s="1" t="s">
        <v>47</v>
      </c>
      <c r="D104" s="1" t="s">
        <v>94</v>
      </c>
      <c r="E104" s="1" t="s">
        <v>28</v>
      </c>
      <c r="F104" s="1" t="s">
        <v>67</v>
      </c>
      <c r="G104" s="17">
        <v>43103</v>
      </c>
      <c r="H104" s="1" t="s">
        <v>61</v>
      </c>
      <c r="I104" s="18">
        <v>1</v>
      </c>
      <c r="J104" s="19">
        <v>8130</v>
      </c>
      <c r="K104" s="19">
        <v>0</v>
      </c>
      <c r="L104" s="1" t="s">
        <v>62</v>
      </c>
      <c r="M104" s="17"/>
      <c r="N104" s="19">
        <f>tblKadry[[#This Row],[Wynagrodzenie_zasadnicze]]+tblKadry[[#This Row],[Dodatek_funkcyjny]]</f>
        <v>8130</v>
      </c>
      <c r="O104" s="19">
        <f>IF(OR(tblKadry[[#This Row],[Wynagrodzenie_zasadnicze]]="",tblKadry[[#This Row],[Etat]]=0),"",tblKadry[[#This Row],[Wynagrodzenie_zasadnicze]]/tblKadry[[#This Row],[Etat]])</f>
        <v>8130</v>
      </c>
      <c r="P104" s="21">
        <f>IF(AND(tblKadry[[#This Row],[Status]]="Aktywny",tblKadry[[#This Row],[Data_zatrudnienia]]&lt;=pDataRaportu),1,0)</f>
        <v>1</v>
      </c>
      <c r="Q104" s="20">
        <f>IF(tblKadry[[#This Row],[Data_zatrudnienia]]&gt;pDataRaportu,0,ROUND(YEARFRAC(tblKadry[[#This Row],[Data_zatrudnienia]],IF(tblKadry[[#This Row],[Data_zwolnienia]]="",pDataRaportu,tblKadry[[#This Row],[Data_zwolnienia]])),1))</f>
        <v>8.6999999999999993</v>
      </c>
      <c r="R104" s="19">
        <f>tblKadry[[#This Row],[Brutto_mies]]*(1+pNarzut)</f>
        <v>9916.9740000000002</v>
      </c>
      <c r="S104" s="19">
        <f>_xlfn.XLOOKUP(tblKadry[[#This Row],[Grupa]],tblWidelki[Grupa],tblWidelki[Środek],"")</f>
        <v>8500</v>
      </c>
      <c r="T104" s="18">
        <f>IF(tblKadry[[#This Row],[Stawka_pełny_etat]]="","",tblKadry[[#This Row],[Stawka_pełny_etat]]/tblKadry[[#This Row],[Środek_widełek]])</f>
        <v>0.95647058823529407</v>
      </c>
      <c r="U10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5" spans="1:22" x14ac:dyDescent="0.3">
      <c r="A105" s="1" t="s">
        <v>199</v>
      </c>
      <c r="B105" s="1" t="s">
        <v>38</v>
      </c>
      <c r="C105" s="1" t="s">
        <v>43</v>
      </c>
      <c r="D105" s="1" t="s">
        <v>66</v>
      </c>
      <c r="E105" s="1" t="s">
        <v>28</v>
      </c>
      <c r="F105" s="1" t="s">
        <v>67</v>
      </c>
      <c r="G105" s="17">
        <v>44019</v>
      </c>
      <c r="H105" s="1" t="s">
        <v>61</v>
      </c>
      <c r="I105" s="18">
        <v>1</v>
      </c>
      <c r="J105" s="19">
        <v>7990</v>
      </c>
      <c r="K105" s="19">
        <v>0</v>
      </c>
      <c r="L105" s="1" t="s">
        <v>62</v>
      </c>
      <c r="M105" s="17"/>
      <c r="N105" s="19">
        <f>tblKadry[[#This Row],[Wynagrodzenie_zasadnicze]]+tblKadry[[#This Row],[Dodatek_funkcyjny]]</f>
        <v>7990</v>
      </c>
      <c r="O105" s="19">
        <f>IF(OR(tblKadry[[#This Row],[Wynagrodzenie_zasadnicze]]="",tblKadry[[#This Row],[Etat]]=0),"",tblKadry[[#This Row],[Wynagrodzenie_zasadnicze]]/tblKadry[[#This Row],[Etat]])</f>
        <v>7990</v>
      </c>
      <c r="P105" s="21">
        <f>IF(AND(tblKadry[[#This Row],[Status]]="Aktywny",tblKadry[[#This Row],[Data_zatrudnienia]]&lt;=pDataRaportu),1,0)</f>
        <v>1</v>
      </c>
      <c r="Q105" s="20">
        <f>IF(tblKadry[[#This Row],[Data_zatrudnienia]]&gt;pDataRaportu,0,ROUND(YEARFRAC(tblKadry[[#This Row],[Data_zatrudnienia]],IF(tblKadry[[#This Row],[Data_zwolnienia]]="",pDataRaportu,tblKadry[[#This Row],[Data_zwolnienia]])),1))</f>
        <v>6.2</v>
      </c>
      <c r="R105" s="19">
        <f>tblKadry[[#This Row],[Brutto_mies]]*(1+pNarzut)</f>
        <v>9746.2019999999993</v>
      </c>
      <c r="S105" s="19">
        <f>_xlfn.XLOOKUP(tblKadry[[#This Row],[Grupa]],tblWidelki[Grupa],tblWidelki[Środek],"")</f>
        <v>8500</v>
      </c>
      <c r="T105" s="18">
        <f>IF(tblKadry[[#This Row],[Stawka_pełny_etat]]="","",tblKadry[[#This Row],[Stawka_pełny_etat]]/tblKadry[[#This Row],[Środek_widełek]])</f>
        <v>0.94</v>
      </c>
      <c r="U10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6" spans="1:22" x14ac:dyDescent="0.3">
      <c r="A106" s="1" t="s">
        <v>137</v>
      </c>
      <c r="B106" s="1" t="s">
        <v>41</v>
      </c>
      <c r="C106" s="1" t="s">
        <v>43</v>
      </c>
      <c r="D106" s="1" t="s">
        <v>66</v>
      </c>
      <c r="E106" s="1" t="s">
        <v>28</v>
      </c>
      <c r="F106" s="1" t="s">
        <v>67</v>
      </c>
      <c r="G106" s="17">
        <v>46144</v>
      </c>
      <c r="H106" s="1" t="s">
        <v>68</v>
      </c>
      <c r="I106" s="18">
        <v>1</v>
      </c>
      <c r="J106" s="19">
        <v>7950</v>
      </c>
      <c r="K106" s="19">
        <v>0</v>
      </c>
      <c r="L106" s="1" t="s">
        <v>62</v>
      </c>
      <c r="M106" s="17"/>
      <c r="N106" s="19">
        <f>tblKadry[[#This Row],[Wynagrodzenie_zasadnicze]]+tblKadry[[#This Row],[Dodatek_funkcyjny]]</f>
        <v>7950</v>
      </c>
      <c r="O106" s="19">
        <f>IF(OR(tblKadry[[#This Row],[Wynagrodzenie_zasadnicze]]="",tblKadry[[#This Row],[Etat]]=0),"",tblKadry[[#This Row],[Wynagrodzenie_zasadnicze]]/tblKadry[[#This Row],[Etat]])</f>
        <v>7950</v>
      </c>
      <c r="P106" s="21">
        <f>IF(AND(tblKadry[[#This Row],[Status]]="Aktywny",tblKadry[[#This Row],[Data_zatrudnienia]]&lt;=pDataRaportu),1,0)</f>
        <v>1</v>
      </c>
      <c r="Q106" s="20">
        <f>IF(tblKadry[[#This Row],[Data_zatrudnienia]]&gt;pDataRaportu,0,ROUND(YEARFRAC(tblKadry[[#This Row],[Data_zatrudnienia]],IF(tblKadry[[#This Row],[Data_zwolnienia]]="",pDataRaportu,tblKadry[[#This Row],[Data_zwolnienia]])),1))</f>
        <v>0.4</v>
      </c>
      <c r="R106" s="19">
        <f>tblKadry[[#This Row],[Brutto_mies]]*(1+pNarzut)</f>
        <v>9697.41</v>
      </c>
      <c r="S106" s="19">
        <f>_xlfn.XLOOKUP(tblKadry[[#This Row],[Grupa]],tblWidelki[Grupa],tblWidelki[Środek],"")</f>
        <v>8500</v>
      </c>
      <c r="T106" s="18">
        <f>IF(tblKadry[[#This Row],[Stawka_pełny_etat]]="","",tblKadry[[#This Row],[Stawka_pełny_etat]]/tblKadry[[#This Row],[Środek_widełek]])</f>
        <v>0.93529411764705883</v>
      </c>
      <c r="U10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7" spans="1:22" x14ac:dyDescent="0.3">
      <c r="A107" s="1" t="s">
        <v>98</v>
      </c>
      <c r="B107" s="1" t="s">
        <v>39</v>
      </c>
      <c r="C107" s="1" t="s">
        <v>46</v>
      </c>
      <c r="D107" s="1" t="s">
        <v>99</v>
      </c>
      <c r="E107" s="1" t="s">
        <v>26</v>
      </c>
      <c r="F107" s="1" t="s">
        <v>67</v>
      </c>
      <c r="G107" s="17">
        <v>41944</v>
      </c>
      <c r="H107" s="1" t="s">
        <v>61</v>
      </c>
      <c r="I107" s="18">
        <v>1</v>
      </c>
      <c r="J107" s="19">
        <v>7950</v>
      </c>
      <c r="K107" s="19">
        <v>0</v>
      </c>
      <c r="L107" s="1" t="s">
        <v>83</v>
      </c>
      <c r="M107" s="17">
        <v>46081</v>
      </c>
      <c r="N107" s="19">
        <f>tblKadry[[#This Row],[Wynagrodzenie_zasadnicze]]+tblKadry[[#This Row],[Dodatek_funkcyjny]]</f>
        <v>7950</v>
      </c>
      <c r="O107" s="19">
        <f>IF(OR(tblKadry[[#This Row],[Wynagrodzenie_zasadnicze]]="",tblKadry[[#This Row],[Etat]]=0),"",tblKadry[[#This Row],[Wynagrodzenie_zasadnicze]]/tblKadry[[#This Row],[Etat]])</f>
        <v>7950</v>
      </c>
      <c r="P107" s="21">
        <f>IF(AND(tblKadry[[#This Row],[Status]]="Aktywny",tblKadry[[#This Row],[Data_zatrudnienia]]&lt;=pDataRaportu),1,0)</f>
        <v>0</v>
      </c>
      <c r="Q107" s="20">
        <f>IF(tblKadry[[#This Row],[Data_zatrudnienia]]&gt;pDataRaportu,0,ROUND(YEARFRAC(tblKadry[[#This Row],[Data_zatrudnienia]],IF(tblKadry[[#This Row],[Data_zwolnienia]]="",pDataRaportu,tblKadry[[#This Row],[Data_zwolnienia]])),1))</f>
        <v>11.3</v>
      </c>
      <c r="R107" s="19">
        <f>tblKadry[[#This Row],[Brutto_mies]]*(1+pNarzut)</f>
        <v>9697.41</v>
      </c>
      <c r="S107" s="19">
        <f>_xlfn.XLOOKUP(tblKadry[[#This Row],[Grupa]],tblWidelki[Grupa],tblWidelki[Środek],"")</f>
        <v>6500</v>
      </c>
      <c r="T107" s="18">
        <f>IF(tblKadry[[#This Row],[Stawka_pełny_etat]]="","",tblKadry[[#This Row],[Stawka_pełny_etat]]/tblKadry[[#This Row],[Środek_widełek]])</f>
        <v>1.2230769230769232</v>
      </c>
      <c r="U10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10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8" spans="1:22" x14ac:dyDescent="0.3">
      <c r="A108" s="1" t="s">
        <v>138</v>
      </c>
      <c r="B108" s="1" t="s">
        <v>39</v>
      </c>
      <c r="C108" s="1" t="s">
        <v>44</v>
      </c>
      <c r="D108" s="1" t="s">
        <v>97</v>
      </c>
      <c r="E108" s="1" t="s">
        <v>28</v>
      </c>
      <c r="F108" s="1" t="s">
        <v>67</v>
      </c>
      <c r="G108" s="17">
        <v>44716</v>
      </c>
      <c r="H108" s="1" t="s">
        <v>61</v>
      </c>
      <c r="I108" s="18">
        <v>1</v>
      </c>
      <c r="J108" s="19">
        <v>7940</v>
      </c>
      <c r="K108" s="19">
        <v>0</v>
      </c>
      <c r="L108" s="1" t="s">
        <v>62</v>
      </c>
      <c r="M108" s="17"/>
      <c r="N108" s="19">
        <f>tblKadry[[#This Row],[Wynagrodzenie_zasadnicze]]+tblKadry[[#This Row],[Dodatek_funkcyjny]]</f>
        <v>7940</v>
      </c>
      <c r="O108" s="19">
        <f>IF(OR(tblKadry[[#This Row],[Wynagrodzenie_zasadnicze]]="",tblKadry[[#This Row],[Etat]]=0),"",tblKadry[[#This Row],[Wynagrodzenie_zasadnicze]]/tblKadry[[#This Row],[Etat]])</f>
        <v>7940</v>
      </c>
      <c r="P108" s="21">
        <f>IF(AND(tblKadry[[#This Row],[Status]]="Aktywny",tblKadry[[#This Row],[Data_zatrudnienia]]&lt;=pDataRaportu),1,0)</f>
        <v>1</v>
      </c>
      <c r="Q108" s="20">
        <f>IF(tblKadry[[#This Row],[Data_zatrudnienia]]&gt;pDataRaportu,0,ROUND(YEARFRAC(tblKadry[[#This Row],[Data_zatrudnienia]],IF(tblKadry[[#This Row],[Data_zwolnienia]]="",pDataRaportu,tblKadry[[#This Row],[Data_zwolnienia]])),1))</f>
        <v>4.3</v>
      </c>
      <c r="R108" s="19">
        <f>tblKadry[[#This Row],[Brutto_mies]]*(1+pNarzut)</f>
        <v>9685.2119999999995</v>
      </c>
      <c r="S108" s="19">
        <f>_xlfn.XLOOKUP(tblKadry[[#This Row],[Grupa]],tblWidelki[Grupa],tblWidelki[Środek],"")</f>
        <v>8500</v>
      </c>
      <c r="T108" s="18">
        <f>IF(tblKadry[[#This Row],[Stawka_pełny_etat]]="","",tblKadry[[#This Row],[Stawka_pełny_etat]]/tblKadry[[#This Row],[Środek_widełek]])</f>
        <v>0.9341176470588235</v>
      </c>
      <c r="U10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09" spans="1:22" x14ac:dyDescent="0.3">
      <c r="A109" s="1" t="s">
        <v>102</v>
      </c>
      <c r="B109" s="1" t="s">
        <v>39</v>
      </c>
      <c r="C109" s="1" t="s">
        <v>44</v>
      </c>
      <c r="D109" s="1" t="s">
        <v>97</v>
      </c>
      <c r="E109" s="1" t="s">
        <v>28</v>
      </c>
      <c r="F109" s="1" t="s">
        <v>67</v>
      </c>
      <c r="G109" s="17">
        <v>45762</v>
      </c>
      <c r="H109" s="1" t="s">
        <v>61</v>
      </c>
      <c r="I109" s="18">
        <v>1</v>
      </c>
      <c r="J109" s="19">
        <v>7930</v>
      </c>
      <c r="K109" s="19">
        <v>0</v>
      </c>
      <c r="L109" s="1" t="s">
        <v>62</v>
      </c>
      <c r="M109" s="17"/>
      <c r="N109" s="19">
        <f>tblKadry[[#This Row],[Wynagrodzenie_zasadnicze]]+tblKadry[[#This Row],[Dodatek_funkcyjny]]</f>
        <v>7930</v>
      </c>
      <c r="O109" s="19">
        <f>IF(OR(tblKadry[[#This Row],[Wynagrodzenie_zasadnicze]]="",tblKadry[[#This Row],[Etat]]=0),"",tblKadry[[#This Row],[Wynagrodzenie_zasadnicze]]/tblKadry[[#This Row],[Etat]])</f>
        <v>7930</v>
      </c>
      <c r="P109" s="21">
        <f>IF(AND(tblKadry[[#This Row],[Status]]="Aktywny",tblKadry[[#This Row],[Data_zatrudnienia]]&lt;=pDataRaportu),1,0)</f>
        <v>1</v>
      </c>
      <c r="Q109" s="20">
        <f>IF(tblKadry[[#This Row],[Data_zatrudnienia]]&gt;pDataRaportu,0,ROUND(YEARFRAC(tblKadry[[#This Row],[Data_zatrudnienia]],IF(tblKadry[[#This Row],[Data_zwolnienia]]="",pDataRaportu,tblKadry[[#This Row],[Data_zwolnienia]])),1))</f>
        <v>1.5</v>
      </c>
      <c r="R109" s="19">
        <f>tblKadry[[#This Row],[Brutto_mies]]*(1+pNarzut)</f>
        <v>9673.0139999999992</v>
      </c>
      <c r="S109" s="19">
        <f>_xlfn.XLOOKUP(tblKadry[[#This Row],[Grupa]],tblWidelki[Grupa],tblWidelki[Środek],"")</f>
        <v>8500</v>
      </c>
      <c r="T109" s="18">
        <f>IF(tblKadry[[#This Row],[Stawka_pełny_etat]]="","",tblKadry[[#This Row],[Stawka_pełny_etat]]/tblKadry[[#This Row],[Środek_widełek]])</f>
        <v>0.93294117647058827</v>
      </c>
      <c r="U10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0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0" spans="1:22" x14ac:dyDescent="0.3">
      <c r="A110" s="1" t="s">
        <v>221</v>
      </c>
      <c r="B110" s="1" t="s">
        <v>38</v>
      </c>
      <c r="C110" s="1" t="s">
        <v>46</v>
      </c>
      <c r="D110" s="1" t="s">
        <v>64</v>
      </c>
      <c r="E110" s="1" t="s">
        <v>28</v>
      </c>
      <c r="F110" s="1" t="s">
        <v>67</v>
      </c>
      <c r="G110" s="17">
        <v>46201</v>
      </c>
      <c r="H110" s="1" t="s">
        <v>68</v>
      </c>
      <c r="I110" s="18">
        <v>1</v>
      </c>
      <c r="J110" s="19">
        <v>7910</v>
      </c>
      <c r="K110" s="19">
        <v>0</v>
      </c>
      <c r="L110" s="1" t="s">
        <v>62</v>
      </c>
      <c r="M110" s="17"/>
      <c r="N110" s="19">
        <f>tblKadry[[#This Row],[Wynagrodzenie_zasadnicze]]+tblKadry[[#This Row],[Dodatek_funkcyjny]]</f>
        <v>7910</v>
      </c>
      <c r="O110" s="19">
        <f>IF(OR(tblKadry[[#This Row],[Wynagrodzenie_zasadnicze]]="",tblKadry[[#This Row],[Etat]]=0),"",tblKadry[[#This Row],[Wynagrodzenie_zasadnicze]]/tblKadry[[#This Row],[Etat]])</f>
        <v>7910</v>
      </c>
      <c r="P110" s="21">
        <f>IF(AND(tblKadry[[#This Row],[Status]]="Aktywny",tblKadry[[#This Row],[Data_zatrudnienia]]&lt;=pDataRaportu),1,0)</f>
        <v>1</v>
      </c>
      <c r="Q110" s="20">
        <f>IF(tblKadry[[#This Row],[Data_zatrudnienia]]&gt;pDataRaportu,0,ROUND(YEARFRAC(tblKadry[[#This Row],[Data_zatrudnienia]],IF(tblKadry[[#This Row],[Data_zwolnienia]]="",pDataRaportu,tblKadry[[#This Row],[Data_zwolnienia]])),1))</f>
        <v>0.3</v>
      </c>
      <c r="R110" s="19">
        <f>tblKadry[[#This Row],[Brutto_mies]]*(1+pNarzut)</f>
        <v>9648.6180000000004</v>
      </c>
      <c r="S110" s="19">
        <f>_xlfn.XLOOKUP(tblKadry[[#This Row],[Grupa]],tblWidelki[Grupa],tblWidelki[Środek],"")</f>
        <v>8500</v>
      </c>
      <c r="T110" s="18">
        <f>IF(tblKadry[[#This Row],[Stawka_pełny_etat]]="","",tblKadry[[#This Row],[Stawka_pełny_etat]]/tblKadry[[#This Row],[Środek_widełek]])</f>
        <v>0.93058823529411761</v>
      </c>
      <c r="U11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1" spans="1:22" x14ac:dyDescent="0.3">
      <c r="A111" s="1" t="s">
        <v>167</v>
      </c>
      <c r="B111" s="1" t="s">
        <v>41</v>
      </c>
      <c r="C111" s="1" t="s">
        <v>43</v>
      </c>
      <c r="D111" s="1" t="s">
        <v>66</v>
      </c>
      <c r="E111" s="1" t="s">
        <v>28</v>
      </c>
      <c r="F111" s="1" t="s">
        <v>67</v>
      </c>
      <c r="G111" s="17">
        <v>46252</v>
      </c>
      <c r="H111" s="1" t="s">
        <v>61</v>
      </c>
      <c r="I111" s="18">
        <v>1</v>
      </c>
      <c r="J111" s="19">
        <v>7870</v>
      </c>
      <c r="K111" s="19">
        <v>0</v>
      </c>
      <c r="L111" s="1" t="s">
        <v>62</v>
      </c>
      <c r="M111" s="17"/>
      <c r="N111" s="19">
        <f>tblKadry[[#This Row],[Wynagrodzenie_zasadnicze]]+tblKadry[[#This Row],[Dodatek_funkcyjny]]</f>
        <v>7870</v>
      </c>
      <c r="O111" s="19">
        <f>IF(OR(tblKadry[[#This Row],[Wynagrodzenie_zasadnicze]]="",tblKadry[[#This Row],[Etat]]=0),"",tblKadry[[#This Row],[Wynagrodzenie_zasadnicze]]/tblKadry[[#This Row],[Etat]])</f>
        <v>7870</v>
      </c>
      <c r="P111" s="21">
        <f>IF(AND(tblKadry[[#This Row],[Status]]="Aktywny",tblKadry[[#This Row],[Data_zatrudnienia]]&lt;=pDataRaportu),1,0)</f>
        <v>1</v>
      </c>
      <c r="Q111" s="20">
        <f>IF(tblKadry[[#This Row],[Data_zatrudnienia]]&gt;pDataRaportu,0,ROUND(YEARFRAC(tblKadry[[#This Row],[Data_zatrudnienia]],IF(tblKadry[[#This Row],[Data_zwolnienia]]="",pDataRaportu,tblKadry[[#This Row],[Data_zwolnienia]])),1))</f>
        <v>0.1</v>
      </c>
      <c r="R111" s="19">
        <f>tblKadry[[#This Row],[Brutto_mies]]*(1+pNarzut)</f>
        <v>9599.8259999999991</v>
      </c>
      <c r="S111" s="19">
        <f>_xlfn.XLOOKUP(tblKadry[[#This Row],[Grupa]],tblWidelki[Grupa],tblWidelki[Środek],"")</f>
        <v>8500</v>
      </c>
      <c r="T111" s="18">
        <f>IF(tblKadry[[#This Row],[Stawka_pełny_etat]]="","",tblKadry[[#This Row],[Stawka_pełny_etat]]/tblKadry[[#This Row],[Środek_widełek]])</f>
        <v>0.92588235294117649</v>
      </c>
      <c r="U11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2" spans="1:22" x14ac:dyDescent="0.3">
      <c r="A112" s="1" t="s">
        <v>190</v>
      </c>
      <c r="B112" s="1" t="s">
        <v>38</v>
      </c>
      <c r="C112" s="1" t="s">
        <v>43</v>
      </c>
      <c r="D112" s="1" t="s">
        <v>66</v>
      </c>
      <c r="E112" s="1" t="s">
        <v>28</v>
      </c>
      <c r="F112" s="1" t="s">
        <v>67</v>
      </c>
      <c r="G112" s="17">
        <v>45863</v>
      </c>
      <c r="H112" s="1" t="s">
        <v>68</v>
      </c>
      <c r="I112" s="18">
        <v>1</v>
      </c>
      <c r="J112" s="19">
        <v>7870</v>
      </c>
      <c r="K112" s="19">
        <v>0</v>
      </c>
      <c r="L112" s="1" t="s">
        <v>62</v>
      </c>
      <c r="M112" s="17"/>
      <c r="N112" s="19">
        <f>tblKadry[[#This Row],[Wynagrodzenie_zasadnicze]]+tblKadry[[#This Row],[Dodatek_funkcyjny]]</f>
        <v>7870</v>
      </c>
      <c r="O112" s="19">
        <f>IF(OR(tblKadry[[#This Row],[Wynagrodzenie_zasadnicze]]="",tblKadry[[#This Row],[Etat]]=0),"",tblKadry[[#This Row],[Wynagrodzenie_zasadnicze]]/tblKadry[[#This Row],[Etat]])</f>
        <v>7870</v>
      </c>
      <c r="P112" s="21">
        <f>IF(AND(tblKadry[[#This Row],[Status]]="Aktywny",tblKadry[[#This Row],[Data_zatrudnienia]]&lt;=pDataRaportu),1,0)</f>
        <v>1</v>
      </c>
      <c r="Q112" s="20">
        <f>IF(tblKadry[[#This Row],[Data_zatrudnienia]]&gt;pDataRaportu,0,ROUND(YEARFRAC(tblKadry[[#This Row],[Data_zatrudnienia]],IF(tblKadry[[#This Row],[Data_zwolnienia]]="",pDataRaportu,tblKadry[[#This Row],[Data_zwolnienia]])),1))</f>
        <v>1.2</v>
      </c>
      <c r="R112" s="19">
        <f>tblKadry[[#This Row],[Brutto_mies]]*(1+pNarzut)</f>
        <v>9599.8259999999991</v>
      </c>
      <c r="S112" s="19">
        <f>_xlfn.XLOOKUP(tblKadry[[#This Row],[Grupa]],tblWidelki[Grupa],tblWidelki[Środek],"")</f>
        <v>8500</v>
      </c>
      <c r="T112" s="18">
        <f>IF(tblKadry[[#This Row],[Stawka_pełny_etat]]="","",tblKadry[[#This Row],[Stawka_pełny_etat]]/tblKadry[[#This Row],[Środek_widełek]])</f>
        <v>0.92588235294117649</v>
      </c>
      <c r="U11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3" spans="1:22" x14ac:dyDescent="0.3">
      <c r="A113" s="1" t="s">
        <v>201</v>
      </c>
      <c r="B113" s="1" t="s">
        <v>40</v>
      </c>
      <c r="C113" s="1" t="s">
        <v>45</v>
      </c>
      <c r="D113" s="1" t="s">
        <v>66</v>
      </c>
      <c r="E113" s="1" t="s">
        <v>28</v>
      </c>
      <c r="F113" s="1" t="s">
        <v>60</v>
      </c>
      <c r="G113" s="17">
        <v>45672</v>
      </c>
      <c r="H113" s="1" t="s">
        <v>61</v>
      </c>
      <c r="I113" s="18">
        <v>1</v>
      </c>
      <c r="J113" s="19">
        <v>7870</v>
      </c>
      <c r="K113" s="19">
        <v>0</v>
      </c>
      <c r="L113" s="1" t="s">
        <v>62</v>
      </c>
      <c r="M113" s="17"/>
      <c r="N113" s="19">
        <f>tblKadry[[#This Row],[Wynagrodzenie_zasadnicze]]+tblKadry[[#This Row],[Dodatek_funkcyjny]]</f>
        <v>7870</v>
      </c>
      <c r="O113" s="19">
        <f>IF(OR(tblKadry[[#This Row],[Wynagrodzenie_zasadnicze]]="",tblKadry[[#This Row],[Etat]]=0),"",tblKadry[[#This Row],[Wynagrodzenie_zasadnicze]]/tblKadry[[#This Row],[Etat]])</f>
        <v>7870</v>
      </c>
      <c r="P113" s="21">
        <f>IF(AND(tblKadry[[#This Row],[Status]]="Aktywny",tblKadry[[#This Row],[Data_zatrudnienia]]&lt;=pDataRaportu),1,0)</f>
        <v>1</v>
      </c>
      <c r="Q113" s="20">
        <f>IF(tblKadry[[#This Row],[Data_zatrudnienia]]&gt;pDataRaportu,0,ROUND(YEARFRAC(tblKadry[[#This Row],[Data_zatrudnienia]],IF(tblKadry[[#This Row],[Data_zwolnienia]]="",pDataRaportu,tblKadry[[#This Row],[Data_zwolnienia]])),1))</f>
        <v>1.7</v>
      </c>
      <c r="R113" s="19">
        <f>tblKadry[[#This Row],[Brutto_mies]]*(1+pNarzut)</f>
        <v>9599.8259999999991</v>
      </c>
      <c r="S113" s="19">
        <f>_xlfn.XLOOKUP(tblKadry[[#This Row],[Grupa]],tblWidelki[Grupa],tblWidelki[Środek],"")</f>
        <v>8500</v>
      </c>
      <c r="T113" s="18">
        <f>IF(tblKadry[[#This Row],[Stawka_pełny_etat]]="","",tblKadry[[#This Row],[Stawka_pełny_etat]]/tblKadry[[#This Row],[Środek_widełek]])</f>
        <v>0.92588235294117649</v>
      </c>
      <c r="U11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4" spans="1:22" x14ac:dyDescent="0.3">
      <c r="A114" s="1" t="s">
        <v>183</v>
      </c>
      <c r="B114" s="1" t="s">
        <v>39</v>
      </c>
      <c r="C114" s="1" t="s">
        <v>46</v>
      </c>
      <c r="D114" s="1" t="s">
        <v>64</v>
      </c>
      <c r="E114" s="1" t="s">
        <v>28</v>
      </c>
      <c r="F114" s="1" t="s">
        <v>67</v>
      </c>
      <c r="G114" s="17">
        <v>44251</v>
      </c>
      <c r="H114" s="1" t="s">
        <v>61</v>
      </c>
      <c r="I114" s="18">
        <v>1</v>
      </c>
      <c r="J114" s="19">
        <v>7850</v>
      </c>
      <c r="K114" s="19">
        <v>0</v>
      </c>
      <c r="L114" s="1" t="s">
        <v>62</v>
      </c>
      <c r="M114" s="17"/>
      <c r="N114" s="19">
        <f>tblKadry[[#This Row],[Wynagrodzenie_zasadnicze]]+tblKadry[[#This Row],[Dodatek_funkcyjny]]</f>
        <v>7850</v>
      </c>
      <c r="O114" s="19">
        <f>IF(OR(tblKadry[[#This Row],[Wynagrodzenie_zasadnicze]]="",tblKadry[[#This Row],[Etat]]=0),"",tblKadry[[#This Row],[Wynagrodzenie_zasadnicze]]/tblKadry[[#This Row],[Etat]])</f>
        <v>7850</v>
      </c>
      <c r="P114" s="21">
        <f>IF(AND(tblKadry[[#This Row],[Status]]="Aktywny",tblKadry[[#This Row],[Data_zatrudnienia]]&lt;=pDataRaportu),1,0)</f>
        <v>1</v>
      </c>
      <c r="Q114" s="20">
        <f>IF(tblKadry[[#This Row],[Data_zatrudnienia]]&gt;pDataRaportu,0,ROUND(YEARFRAC(tblKadry[[#This Row],[Data_zatrudnienia]],IF(tblKadry[[#This Row],[Data_zwolnienia]]="",pDataRaportu,tblKadry[[#This Row],[Data_zwolnienia]])),1))</f>
        <v>5.6</v>
      </c>
      <c r="R114" s="19">
        <f>tblKadry[[#This Row],[Brutto_mies]]*(1+pNarzut)</f>
        <v>9575.43</v>
      </c>
      <c r="S114" s="19">
        <f>_xlfn.XLOOKUP(tblKadry[[#This Row],[Grupa]],tblWidelki[Grupa],tblWidelki[Środek],"")</f>
        <v>8500</v>
      </c>
      <c r="T114" s="18">
        <f>IF(tblKadry[[#This Row],[Stawka_pełny_etat]]="","",tblKadry[[#This Row],[Stawka_pełny_etat]]/tblKadry[[#This Row],[Środek_widełek]])</f>
        <v>0.92352941176470593</v>
      </c>
      <c r="U11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5" spans="1:22" x14ac:dyDescent="0.3">
      <c r="A115" s="1" t="s">
        <v>136</v>
      </c>
      <c r="B115" s="1" t="s">
        <v>40</v>
      </c>
      <c r="C115" s="1" t="s">
        <v>47</v>
      </c>
      <c r="D115" s="1" t="s">
        <v>94</v>
      </c>
      <c r="E115" s="1" t="s">
        <v>28</v>
      </c>
      <c r="F115" s="1" t="s">
        <v>67</v>
      </c>
      <c r="G115" s="17">
        <v>43489</v>
      </c>
      <c r="H115" s="1" t="s">
        <v>61</v>
      </c>
      <c r="I115" s="18">
        <v>1</v>
      </c>
      <c r="J115" s="19">
        <v>7790</v>
      </c>
      <c r="K115" s="19">
        <v>0</v>
      </c>
      <c r="L115" s="1" t="s">
        <v>62</v>
      </c>
      <c r="M115" s="17"/>
      <c r="N115" s="19">
        <f>tblKadry[[#This Row],[Wynagrodzenie_zasadnicze]]+tblKadry[[#This Row],[Dodatek_funkcyjny]]</f>
        <v>7790</v>
      </c>
      <c r="O115" s="19">
        <f>IF(OR(tblKadry[[#This Row],[Wynagrodzenie_zasadnicze]]="",tblKadry[[#This Row],[Etat]]=0),"",tblKadry[[#This Row],[Wynagrodzenie_zasadnicze]]/tblKadry[[#This Row],[Etat]])</f>
        <v>7790</v>
      </c>
      <c r="P115" s="21">
        <f>IF(AND(tblKadry[[#This Row],[Status]]="Aktywny",tblKadry[[#This Row],[Data_zatrudnienia]]&lt;=pDataRaportu),1,0)</f>
        <v>1</v>
      </c>
      <c r="Q115" s="20">
        <f>IF(tblKadry[[#This Row],[Data_zatrudnienia]]&gt;pDataRaportu,0,ROUND(YEARFRAC(tblKadry[[#This Row],[Data_zatrudnienia]],IF(tblKadry[[#This Row],[Data_zwolnienia]]="",pDataRaportu,tblKadry[[#This Row],[Data_zwolnienia]])),1))</f>
        <v>7.7</v>
      </c>
      <c r="R115" s="19">
        <f>tblKadry[[#This Row],[Brutto_mies]]*(1+pNarzut)</f>
        <v>9502.2420000000002</v>
      </c>
      <c r="S115" s="19">
        <f>_xlfn.XLOOKUP(tblKadry[[#This Row],[Grupa]],tblWidelki[Grupa],tblWidelki[Środek],"")</f>
        <v>8500</v>
      </c>
      <c r="T115" s="18">
        <f>IF(tblKadry[[#This Row],[Stawka_pełny_etat]]="","",tblKadry[[#This Row],[Stawka_pełny_etat]]/tblKadry[[#This Row],[Środek_widełek]])</f>
        <v>0.91647058823529415</v>
      </c>
      <c r="U11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6" spans="1:22" x14ac:dyDescent="0.3">
      <c r="A116" s="1" t="s">
        <v>159</v>
      </c>
      <c r="B116" s="1" t="s">
        <v>41</v>
      </c>
      <c r="C116" s="1" t="s">
        <v>47</v>
      </c>
      <c r="D116" s="1" t="s">
        <v>94</v>
      </c>
      <c r="E116" s="1" t="s">
        <v>28</v>
      </c>
      <c r="F116" s="1" t="s">
        <v>60</v>
      </c>
      <c r="G116" s="17">
        <v>46076</v>
      </c>
      <c r="H116" s="1" t="s">
        <v>68</v>
      </c>
      <c r="I116" s="18">
        <v>1</v>
      </c>
      <c r="J116" s="19">
        <v>7760</v>
      </c>
      <c r="K116" s="19">
        <v>0</v>
      </c>
      <c r="L116" s="1" t="s">
        <v>62</v>
      </c>
      <c r="M116" s="17"/>
      <c r="N116" s="19">
        <f>tblKadry[[#This Row],[Wynagrodzenie_zasadnicze]]+tblKadry[[#This Row],[Dodatek_funkcyjny]]</f>
        <v>7760</v>
      </c>
      <c r="O116" s="19">
        <f>IF(OR(tblKadry[[#This Row],[Wynagrodzenie_zasadnicze]]="",tblKadry[[#This Row],[Etat]]=0),"",tblKadry[[#This Row],[Wynagrodzenie_zasadnicze]]/tblKadry[[#This Row],[Etat]])</f>
        <v>7760</v>
      </c>
      <c r="P116" s="21">
        <f>IF(AND(tblKadry[[#This Row],[Status]]="Aktywny",tblKadry[[#This Row],[Data_zatrudnienia]]&lt;=pDataRaportu),1,0)</f>
        <v>1</v>
      </c>
      <c r="Q116" s="20">
        <f>IF(tblKadry[[#This Row],[Data_zatrudnienia]]&gt;pDataRaportu,0,ROUND(YEARFRAC(tblKadry[[#This Row],[Data_zatrudnienia]],IF(tblKadry[[#This Row],[Data_zwolnienia]]="",pDataRaportu,tblKadry[[#This Row],[Data_zwolnienia]])),1))</f>
        <v>0.6</v>
      </c>
      <c r="R116" s="19">
        <f>tblKadry[[#This Row],[Brutto_mies]]*(1+pNarzut)</f>
        <v>9465.6479999999992</v>
      </c>
      <c r="S116" s="19">
        <f>_xlfn.XLOOKUP(tblKadry[[#This Row],[Grupa]],tblWidelki[Grupa],tblWidelki[Środek],"")</f>
        <v>8500</v>
      </c>
      <c r="T116" s="18">
        <f>IF(tblKadry[[#This Row],[Stawka_pełny_etat]]="","",tblKadry[[#This Row],[Stawka_pełny_etat]]/tblKadry[[#This Row],[Środek_widełek]])</f>
        <v>0.91294117647058826</v>
      </c>
      <c r="U11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7" spans="1:22" x14ac:dyDescent="0.3">
      <c r="A117" s="1" t="s">
        <v>96</v>
      </c>
      <c r="B117" s="1" t="s">
        <v>41</v>
      </c>
      <c r="C117" s="1" t="s">
        <v>44</v>
      </c>
      <c r="D117" s="1" t="s">
        <v>97</v>
      </c>
      <c r="E117" s="1" t="s">
        <v>28</v>
      </c>
      <c r="F117" s="1" t="s">
        <v>67</v>
      </c>
      <c r="G117" s="17">
        <v>43418</v>
      </c>
      <c r="H117" s="1" t="s">
        <v>61</v>
      </c>
      <c r="I117" s="18">
        <v>1</v>
      </c>
      <c r="J117" s="19">
        <v>7710</v>
      </c>
      <c r="K117" s="19">
        <v>0</v>
      </c>
      <c r="L117" s="1" t="s">
        <v>62</v>
      </c>
      <c r="M117" s="17"/>
      <c r="N117" s="19">
        <f>tblKadry[[#This Row],[Wynagrodzenie_zasadnicze]]+tblKadry[[#This Row],[Dodatek_funkcyjny]]</f>
        <v>7710</v>
      </c>
      <c r="O117" s="19">
        <f>IF(OR(tblKadry[[#This Row],[Wynagrodzenie_zasadnicze]]="",tblKadry[[#This Row],[Etat]]=0),"",tblKadry[[#This Row],[Wynagrodzenie_zasadnicze]]/tblKadry[[#This Row],[Etat]])</f>
        <v>7710</v>
      </c>
      <c r="P117" s="21">
        <f>IF(AND(tblKadry[[#This Row],[Status]]="Aktywny",tblKadry[[#This Row],[Data_zatrudnienia]]&lt;=pDataRaportu),1,0)</f>
        <v>1</v>
      </c>
      <c r="Q117" s="20">
        <f>IF(tblKadry[[#This Row],[Data_zatrudnienia]]&gt;pDataRaportu,0,ROUND(YEARFRAC(tblKadry[[#This Row],[Data_zatrudnienia]],IF(tblKadry[[#This Row],[Data_zwolnienia]]="",pDataRaportu,tblKadry[[#This Row],[Data_zwolnienia]])),1))</f>
        <v>7.9</v>
      </c>
      <c r="R117" s="19">
        <f>tblKadry[[#This Row],[Brutto_mies]]*(1+pNarzut)</f>
        <v>9404.6579999999994</v>
      </c>
      <c r="S117" s="19">
        <f>_xlfn.XLOOKUP(tblKadry[[#This Row],[Grupa]],tblWidelki[Grupa],tblWidelki[Środek],"")</f>
        <v>8500</v>
      </c>
      <c r="T117" s="18">
        <f>IF(tblKadry[[#This Row],[Stawka_pełny_etat]]="","",tblKadry[[#This Row],[Stawka_pełny_etat]]/tblKadry[[#This Row],[Środek_widełek]])</f>
        <v>0.90705882352941181</v>
      </c>
      <c r="U11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8" spans="1:22" x14ac:dyDescent="0.3">
      <c r="A118" s="1" t="s">
        <v>226</v>
      </c>
      <c r="B118" s="1" t="s">
        <v>38</v>
      </c>
      <c r="C118" s="1" t="s">
        <v>47</v>
      </c>
      <c r="D118" s="1" t="s">
        <v>94</v>
      </c>
      <c r="E118" s="1" t="s">
        <v>28</v>
      </c>
      <c r="F118" s="1" t="s">
        <v>60</v>
      </c>
      <c r="G118" s="17">
        <v>45474</v>
      </c>
      <c r="H118" s="1" t="s">
        <v>68</v>
      </c>
      <c r="I118" s="18">
        <v>1</v>
      </c>
      <c r="J118" s="19">
        <v>7700</v>
      </c>
      <c r="K118" s="19">
        <v>0</v>
      </c>
      <c r="L118" s="1" t="s">
        <v>62</v>
      </c>
      <c r="M118" s="17"/>
      <c r="N118" s="19">
        <f>tblKadry[[#This Row],[Wynagrodzenie_zasadnicze]]+tblKadry[[#This Row],[Dodatek_funkcyjny]]</f>
        <v>7700</v>
      </c>
      <c r="O118" s="19">
        <f>IF(OR(tblKadry[[#This Row],[Wynagrodzenie_zasadnicze]]="",tblKadry[[#This Row],[Etat]]=0),"",tblKadry[[#This Row],[Wynagrodzenie_zasadnicze]]/tblKadry[[#This Row],[Etat]])</f>
        <v>7700</v>
      </c>
      <c r="P118" s="21">
        <f>IF(AND(tblKadry[[#This Row],[Status]]="Aktywny",tblKadry[[#This Row],[Data_zatrudnienia]]&lt;=pDataRaportu),1,0)</f>
        <v>1</v>
      </c>
      <c r="Q118" s="20">
        <f>IF(tblKadry[[#This Row],[Data_zatrudnienia]]&gt;pDataRaportu,0,ROUND(YEARFRAC(tblKadry[[#This Row],[Data_zatrudnienia]],IF(tblKadry[[#This Row],[Data_zwolnienia]]="",pDataRaportu,tblKadry[[#This Row],[Data_zwolnienia]])),1))</f>
        <v>2.2000000000000002</v>
      </c>
      <c r="R118" s="19">
        <f>tblKadry[[#This Row],[Brutto_mies]]*(1+pNarzut)</f>
        <v>9392.4599999999991</v>
      </c>
      <c r="S118" s="19">
        <f>_xlfn.XLOOKUP(tblKadry[[#This Row],[Grupa]],tblWidelki[Grupa],tblWidelki[Środek],"")</f>
        <v>8500</v>
      </c>
      <c r="T118" s="18">
        <f>IF(tblKadry[[#This Row],[Stawka_pełny_etat]]="","",tblKadry[[#This Row],[Stawka_pełny_etat]]/tblKadry[[#This Row],[Środek_widełek]])</f>
        <v>0.90588235294117647</v>
      </c>
      <c r="U11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19" spans="1:22" x14ac:dyDescent="0.3">
      <c r="A119" s="1" t="s">
        <v>92</v>
      </c>
      <c r="B119" s="1" t="s">
        <v>40</v>
      </c>
      <c r="C119" s="1" t="s">
        <v>43</v>
      </c>
      <c r="D119" s="1" t="s">
        <v>66</v>
      </c>
      <c r="E119" s="1" t="s">
        <v>28</v>
      </c>
      <c r="F119" s="1" t="s">
        <v>67</v>
      </c>
      <c r="G119" s="17">
        <v>44789</v>
      </c>
      <c r="H119" s="1" t="s">
        <v>61</v>
      </c>
      <c r="I119" s="18">
        <v>1</v>
      </c>
      <c r="J119" s="19">
        <v>7670</v>
      </c>
      <c r="K119" s="19">
        <v>0</v>
      </c>
      <c r="L119" s="1" t="s">
        <v>62</v>
      </c>
      <c r="M119" s="17"/>
      <c r="N119" s="19">
        <f>tblKadry[[#This Row],[Wynagrodzenie_zasadnicze]]+tblKadry[[#This Row],[Dodatek_funkcyjny]]</f>
        <v>7670</v>
      </c>
      <c r="O119" s="19">
        <f>IF(OR(tblKadry[[#This Row],[Wynagrodzenie_zasadnicze]]="",tblKadry[[#This Row],[Etat]]=0),"",tblKadry[[#This Row],[Wynagrodzenie_zasadnicze]]/tblKadry[[#This Row],[Etat]])</f>
        <v>7670</v>
      </c>
      <c r="P119" s="21">
        <f>IF(AND(tblKadry[[#This Row],[Status]]="Aktywny",tblKadry[[#This Row],[Data_zatrudnienia]]&lt;=pDataRaportu),1,0)</f>
        <v>1</v>
      </c>
      <c r="Q119" s="20">
        <f>IF(tblKadry[[#This Row],[Data_zatrudnienia]]&gt;pDataRaportu,0,ROUND(YEARFRAC(tblKadry[[#This Row],[Data_zatrudnienia]],IF(tblKadry[[#This Row],[Data_zwolnienia]]="",pDataRaportu,tblKadry[[#This Row],[Data_zwolnienia]])),1))</f>
        <v>4.0999999999999996</v>
      </c>
      <c r="R119" s="19">
        <f>tblKadry[[#This Row],[Brutto_mies]]*(1+pNarzut)</f>
        <v>9355.866</v>
      </c>
      <c r="S119" s="19">
        <f>_xlfn.XLOOKUP(tblKadry[[#This Row],[Grupa]],tblWidelki[Grupa],tblWidelki[Środek],"")</f>
        <v>8500</v>
      </c>
      <c r="T119" s="18">
        <f>IF(tblKadry[[#This Row],[Stawka_pełny_etat]]="","",tblKadry[[#This Row],[Stawka_pełny_etat]]/tblKadry[[#This Row],[Środek_widełek]])</f>
        <v>0.90235294117647058</v>
      </c>
      <c r="U11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1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0" spans="1:22" x14ac:dyDescent="0.3">
      <c r="A120" s="1" t="s">
        <v>146</v>
      </c>
      <c r="B120" s="1" t="s">
        <v>38</v>
      </c>
      <c r="C120" s="1" t="s">
        <v>47</v>
      </c>
      <c r="D120" s="1" t="s">
        <v>94</v>
      </c>
      <c r="E120" s="1" t="s">
        <v>28</v>
      </c>
      <c r="F120" s="1" t="s">
        <v>60</v>
      </c>
      <c r="G120" s="17">
        <v>46236</v>
      </c>
      <c r="H120" s="1" t="s">
        <v>71</v>
      </c>
      <c r="I120" s="18">
        <v>0.5</v>
      </c>
      <c r="J120" s="19">
        <v>3830</v>
      </c>
      <c r="K120" s="19">
        <v>0</v>
      </c>
      <c r="L120" s="1" t="s">
        <v>62</v>
      </c>
      <c r="M120" s="17"/>
      <c r="N120" s="19">
        <f>tblKadry[[#This Row],[Wynagrodzenie_zasadnicze]]+tblKadry[[#This Row],[Dodatek_funkcyjny]]</f>
        <v>3830</v>
      </c>
      <c r="O120" s="19">
        <f>IF(OR(tblKadry[[#This Row],[Wynagrodzenie_zasadnicze]]="",tblKadry[[#This Row],[Etat]]=0),"",tblKadry[[#This Row],[Wynagrodzenie_zasadnicze]]/tblKadry[[#This Row],[Etat]])</f>
        <v>7660</v>
      </c>
      <c r="P120" s="21">
        <f>IF(AND(tblKadry[[#This Row],[Status]]="Aktywny",tblKadry[[#This Row],[Data_zatrudnienia]]&lt;=pDataRaportu),1,0)</f>
        <v>1</v>
      </c>
      <c r="Q120" s="20">
        <f>IF(tblKadry[[#This Row],[Data_zatrudnienia]]&gt;pDataRaportu,0,ROUND(YEARFRAC(tblKadry[[#This Row],[Data_zatrudnienia]],IF(tblKadry[[#This Row],[Data_zwolnienia]]="",pDataRaportu,tblKadry[[#This Row],[Data_zwolnienia]])),1))</f>
        <v>0.2</v>
      </c>
      <c r="R120" s="19">
        <f>tblKadry[[#This Row],[Brutto_mies]]*(1+pNarzut)</f>
        <v>4671.8339999999998</v>
      </c>
      <c r="S120" s="19">
        <f>_xlfn.XLOOKUP(tblKadry[[#This Row],[Grupa]],tblWidelki[Grupa],tblWidelki[Środek],"")</f>
        <v>8500</v>
      </c>
      <c r="T120" s="18">
        <f>IF(tblKadry[[#This Row],[Stawka_pełny_etat]]="","",tblKadry[[#This Row],[Stawka_pełny_etat]]/tblKadry[[#This Row],[Środek_widełek]])</f>
        <v>0.90117647058823525</v>
      </c>
      <c r="U12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1" spans="1:22" x14ac:dyDescent="0.3">
      <c r="A121" s="1" t="s">
        <v>171</v>
      </c>
      <c r="B121" s="1" t="s">
        <v>38</v>
      </c>
      <c r="C121" s="1" t="s">
        <v>44</v>
      </c>
      <c r="D121" s="1" t="s">
        <v>97</v>
      </c>
      <c r="E121" s="1" t="s">
        <v>28</v>
      </c>
      <c r="F121" s="1" t="s">
        <v>67</v>
      </c>
      <c r="G121" s="17">
        <v>44716</v>
      </c>
      <c r="H121" s="1" t="s">
        <v>61</v>
      </c>
      <c r="I121" s="18">
        <v>1</v>
      </c>
      <c r="J121" s="19">
        <v>7630</v>
      </c>
      <c r="K121" s="19">
        <v>0</v>
      </c>
      <c r="L121" s="1" t="s">
        <v>62</v>
      </c>
      <c r="M121" s="17"/>
      <c r="N121" s="19">
        <f>tblKadry[[#This Row],[Wynagrodzenie_zasadnicze]]+tblKadry[[#This Row],[Dodatek_funkcyjny]]</f>
        <v>7630</v>
      </c>
      <c r="O121" s="19">
        <f>IF(OR(tblKadry[[#This Row],[Wynagrodzenie_zasadnicze]]="",tblKadry[[#This Row],[Etat]]=0),"",tblKadry[[#This Row],[Wynagrodzenie_zasadnicze]]/tblKadry[[#This Row],[Etat]])</f>
        <v>7630</v>
      </c>
      <c r="P121" s="21">
        <f>IF(AND(tblKadry[[#This Row],[Status]]="Aktywny",tblKadry[[#This Row],[Data_zatrudnienia]]&lt;=pDataRaportu),1,0)</f>
        <v>1</v>
      </c>
      <c r="Q121" s="20">
        <f>IF(tblKadry[[#This Row],[Data_zatrudnienia]]&gt;pDataRaportu,0,ROUND(YEARFRAC(tblKadry[[#This Row],[Data_zatrudnienia]],IF(tblKadry[[#This Row],[Data_zwolnienia]]="",pDataRaportu,tblKadry[[#This Row],[Data_zwolnienia]])),1))</f>
        <v>4.3</v>
      </c>
      <c r="R121" s="19">
        <f>tblKadry[[#This Row],[Brutto_mies]]*(1+pNarzut)</f>
        <v>9307.0740000000005</v>
      </c>
      <c r="S121" s="19">
        <f>_xlfn.XLOOKUP(tblKadry[[#This Row],[Grupa]],tblWidelki[Grupa],tblWidelki[Środek],"")</f>
        <v>8500</v>
      </c>
      <c r="T121" s="18">
        <f>IF(tblKadry[[#This Row],[Stawka_pełny_etat]]="","",tblKadry[[#This Row],[Stawka_pełny_etat]]/tblKadry[[#This Row],[Środek_widełek]])</f>
        <v>0.89764705882352946</v>
      </c>
      <c r="U12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2" spans="1:22" x14ac:dyDescent="0.3">
      <c r="A122" s="1" t="s">
        <v>63</v>
      </c>
      <c r="B122" s="1" t="s">
        <v>38</v>
      </c>
      <c r="C122" s="1" t="s">
        <v>46</v>
      </c>
      <c r="D122" s="1" t="s">
        <v>64</v>
      </c>
      <c r="E122" s="1" t="s">
        <v>28</v>
      </c>
      <c r="F122" s="1" t="s">
        <v>60</v>
      </c>
      <c r="G122" s="17">
        <v>45142</v>
      </c>
      <c r="H122" s="1" t="s">
        <v>61</v>
      </c>
      <c r="I122" s="18">
        <v>1</v>
      </c>
      <c r="J122" s="19">
        <v>7600</v>
      </c>
      <c r="K122" s="19">
        <v>0</v>
      </c>
      <c r="L122" s="1" t="s">
        <v>62</v>
      </c>
      <c r="M122" s="17"/>
      <c r="N122" s="19">
        <f>tblKadry[[#This Row],[Wynagrodzenie_zasadnicze]]+tblKadry[[#This Row],[Dodatek_funkcyjny]]</f>
        <v>7600</v>
      </c>
      <c r="O122" s="19">
        <f>IF(OR(tblKadry[[#This Row],[Wynagrodzenie_zasadnicze]]="",tblKadry[[#This Row],[Etat]]=0),"",tblKadry[[#This Row],[Wynagrodzenie_zasadnicze]]/tblKadry[[#This Row],[Etat]])</f>
        <v>7600</v>
      </c>
      <c r="P122" s="21">
        <f>IF(AND(tblKadry[[#This Row],[Status]]="Aktywny",tblKadry[[#This Row],[Data_zatrudnienia]]&lt;=pDataRaportu),1,0)</f>
        <v>1</v>
      </c>
      <c r="Q122" s="20">
        <f>IF(tblKadry[[#This Row],[Data_zatrudnienia]]&gt;pDataRaportu,0,ROUND(YEARFRAC(tblKadry[[#This Row],[Data_zatrudnienia]],IF(tblKadry[[#This Row],[Data_zwolnienia]]="",pDataRaportu,tblKadry[[#This Row],[Data_zwolnienia]])),1))</f>
        <v>3.2</v>
      </c>
      <c r="R122" s="19">
        <f>tblKadry[[#This Row],[Brutto_mies]]*(1+pNarzut)</f>
        <v>9270.48</v>
      </c>
      <c r="S122" s="19">
        <f>_xlfn.XLOOKUP(tblKadry[[#This Row],[Grupa]],tblWidelki[Grupa],tblWidelki[Środek],"")</f>
        <v>8500</v>
      </c>
      <c r="T122" s="18">
        <f>IF(tblKadry[[#This Row],[Stawka_pełny_etat]]="","",tblKadry[[#This Row],[Stawka_pełny_etat]]/tblKadry[[#This Row],[Środek_widełek]])</f>
        <v>0.89411764705882357</v>
      </c>
      <c r="U12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3" spans="1:22" x14ac:dyDescent="0.3">
      <c r="A123" s="1" t="s">
        <v>85</v>
      </c>
      <c r="B123" s="1" t="s">
        <v>41</v>
      </c>
      <c r="C123" s="1" t="s">
        <v>43</v>
      </c>
      <c r="D123" s="1" t="s">
        <v>66</v>
      </c>
      <c r="E123" s="1" t="s">
        <v>28</v>
      </c>
      <c r="F123" s="1" t="s">
        <v>67</v>
      </c>
      <c r="G123" s="17">
        <v>44295</v>
      </c>
      <c r="H123" s="1" t="s">
        <v>61</v>
      </c>
      <c r="I123" s="18">
        <v>1</v>
      </c>
      <c r="J123" s="19">
        <v>7580</v>
      </c>
      <c r="K123" s="19">
        <v>0</v>
      </c>
      <c r="L123" s="1" t="s">
        <v>62</v>
      </c>
      <c r="M123" s="17"/>
      <c r="N123" s="19">
        <f>tblKadry[[#This Row],[Wynagrodzenie_zasadnicze]]+tblKadry[[#This Row],[Dodatek_funkcyjny]]</f>
        <v>7580</v>
      </c>
      <c r="O123" s="19">
        <f>IF(OR(tblKadry[[#This Row],[Wynagrodzenie_zasadnicze]]="",tblKadry[[#This Row],[Etat]]=0),"",tblKadry[[#This Row],[Wynagrodzenie_zasadnicze]]/tblKadry[[#This Row],[Etat]])</f>
        <v>7580</v>
      </c>
      <c r="P123" s="21">
        <f>IF(AND(tblKadry[[#This Row],[Status]]="Aktywny",tblKadry[[#This Row],[Data_zatrudnienia]]&lt;=pDataRaportu),1,0)</f>
        <v>1</v>
      </c>
      <c r="Q123" s="20">
        <f>IF(tblKadry[[#This Row],[Data_zatrudnienia]]&gt;pDataRaportu,0,ROUND(YEARFRAC(tblKadry[[#This Row],[Data_zatrudnienia]],IF(tblKadry[[#This Row],[Data_zwolnienia]]="",pDataRaportu,tblKadry[[#This Row],[Data_zwolnienia]])),1))</f>
        <v>5.5</v>
      </c>
      <c r="R123" s="19">
        <f>tblKadry[[#This Row],[Brutto_mies]]*(1+pNarzut)</f>
        <v>9246.0840000000007</v>
      </c>
      <c r="S123" s="19">
        <f>_xlfn.XLOOKUP(tblKadry[[#This Row],[Grupa]],tblWidelki[Grupa],tblWidelki[Środek],"")</f>
        <v>8500</v>
      </c>
      <c r="T123" s="18">
        <f>IF(tblKadry[[#This Row],[Stawka_pełny_etat]]="","",tblKadry[[#This Row],[Stawka_pełny_etat]]/tblKadry[[#This Row],[Środek_widełek]])</f>
        <v>0.8917647058823529</v>
      </c>
      <c r="U12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4" spans="1:22" x14ac:dyDescent="0.3">
      <c r="A124" s="1" t="s">
        <v>194</v>
      </c>
      <c r="B124" s="1" t="s">
        <v>39</v>
      </c>
      <c r="C124" s="1" t="s">
        <v>44</v>
      </c>
      <c r="D124" s="1" t="s">
        <v>97</v>
      </c>
      <c r="E124" s="1" t="s">
        <v>28</v>
      </c>
      <c r="F124" s="1" t="s">
        <v>67</v>
      </c>
      <c r="G124" s="17">
        <v>44805</v>
      </c>
      <c r="H124" s="1" t="s">
        <v>61</v>
      </c>
      <c r="I124" s="18">
        <v>1</v>
      </c>
      <c r="J124" s="19">
        <v>7570</v>
      </c>
      <c r="K124" s="19">
        <v>0</v>
      </c>
      <c r="L124" s="1" t="s">
        <v>62</v>
      </c>
      <c r="M124" s="17"/>
      <c r="N124" s="19">
        <f>tblKadry[[#This Row],[Wynagrodzenie_zasadnicze]]+tblKadry[[#This Row],[Dodatek_funkcyjny]]</f>
        <v>7570</v>
      </c>
      <c r="O124" s="19">
        <f>IF(OR(tblKadry[[#This Row],[Wynagrodzenie_zasadnicze]]="",tblKadry[[#This Row],[Etat]]=0),"",tblKadry[[#This Row],[Wynagrodzenie_zasadnicze]]/tblKadry[[#This Row],[Etat]])</f>
        <v>7570</v>
      </c>
      <c r="P124" s="21">
        <f>IF(AND(tblKadry[[#This Row],[Status]]="Aktywny",tblKadry[[#This Row],[Data_zatrudnienia]]&lt;=pDataRaportu),1,0)</f>
        <v>1</v>
      </c>
      <c r="Q124" s="20">
        <f>IF(tblKadry[[#This Row],[Data_zatrudnienia]]&gt;pDataRaportu,0,ROUND(YEARFRAC(tblKadry[[#This Row],[Data_zatrudnienia]],IF(tblKadry[[#This Row],[Data_zwolnienia]]="",pDataRaportu,tblKadry[[#This Row],[Data_zwolnienia]])),1))</f>
        <v>4.0999999999999996</v>
      </c>
      <c r="R124" s="19">
        <f>tblKadry[[#This Row],[Brutto_mies]]*(1+pNarzut)</f>
        <v>9233.8860000000004</v>
      </c>
      <c r="S124" s="19">
        <f>_xlfn.XLOOKUP(tblKadry[[#This Row],[Grupa]],tblWidelki[Grupa],tblWidelki[Środek],"")</f>
        <v>8500</v>
      </c>
      <c r="T124" s="18">
        <f>IF(tblKadry[[#This Row],[Stawka_pełny_etat]]="","",tblKadry[[#This Row],[Stawka_pełny_etat]]/tblKadry[[#This Row],[Środek_widełek]])</f>
        <v>0.89058823529411768</v>
      </c>
      <c r="U12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5" spans="1:22" x14ac:dyDescent="0.3">
      <c r="A125" s="1" t="s">
        <v>150</v>
      </c>
      <c r="B125" s="1" t="s">
        <v>39</v>
      </c>
      <c r="C125" s="1" t="s">
        <v>43</v>
      </c>
      <c r="D125" s="1" t="s">
        <v>66</v>
      </c>
      <c r="E125" s="1" t="s">
        <v>28</v>
      </c>
      <c r="F125" s="1" t="s">
        <v>67</v>
      </c>
      <c r="G125" s="17">
        <v>45363</v>
      </c>
      <c r="H125" s="1" t="s">
        <v>61</v>
      </c>
      <c r="I125" s="18">
        <v>1</v>
      </c>
      <c r="J125" s="19">
        <v>7550</v>
      </c>
      <c r="K125" s="19">
        <v>0</v>
      </c>
      <c r="L125" s="1" t="s">
        <v>62</v>
      </c>
      <c r="M125" s="17"/>
      <c r="N125" s="19">
        <f>tblKadry[[#This Row],[Wynagrodzenie_zasadnicze]]+tblKadry[[#This Row],[Dodatek_funkcyjny]]</f>
        <v>7550</v>
      </c>
      <c r="O125" s="19">
        <f>IF(OR(tblKadry[[#This Row],[Wynagrodzenie_zasadnicze]]="",tblKadry[[#This Row],[Etat]]=0),"",tblKadry[[#This Row],[Wynagrodzenie_zasadnicze]]/tblKadry[[#This Row],[Etat]])</f>
        <v>7550</v>
      </c>
      <c r="P125" s="21">
        <f>IF(AND(tblKadry[[#This Row],[Status]]="Aktywny",tblKadry[[#This Row],[Data_zatrudnienia]]&lt;=pDataRaportu),1,0)</f>
        <v>1</v>
      </c>
      <c r="Q125" s="20">
        <f>IF(tblKadry[[#This Row],[Data_zatrudnienia]]&gt;pDataRaportu,0,ROUND(YEARFRAC(tblKadry[[#This Row],[Data_zatrudnienia]],IF(tblKadry[[#This Row],[Data_zwolnienia]]="",pDataRaportu,tblKadry[[#This Row],[Data_zwolnienia]])),1))</f>
        <v>2.6</v>
      </c>
      <c r="R125" s="19">
        <f>tblKadry[[#This Row],[Brutto_mies]]*(1+pNarzut)</f>
        <v>9209.49</v>
      </c>
      <c r="S125" s="19">
        <f>_xlfn.XLOOKUP(tblKadry[[#This Row],[Grupa]],tblWidelki[Grupa],tblWidelki[Środek],"")</f>
        <v>8500</v>
      </c>
      <c r="T125" s="18">
        <f>IF(tblKadry[[#This Row],[Stawka_pełny_etat]]="","",tblKadry[[#This Row],[Stawka_pełny_etat]]/tblKadry[[#This Row],[Środek_widełek]])</f>
        <v>0.88823529411764701</v>
      </c>
      <c r="U12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6" spans="1:22" x14ac:dyDescent="0.3">
      <c r="A126" s="1" t="s">
        <v>200</v>
      </c>
      <c r="B126" s="1" t="s">
        <v>40</v>
      </c>
      <c r="C126" s="1" t="s">
        <v>43</v>
      </c>
      <c r="D126" s="1" t="s">
        <v>66</v>
      </c>
      <c r="E126" s="1" t="s">
        <v>28</v>
      </c>
      <c r="F126" s="1" t="s">
        <v>67</v>
      </c>
      <c r="G126" s="17">
        <v>44068</v>
      </c>
      <c r="H126" s="1" t="s">
        <v>61</v>
      </c>
      <c r="I126" s="18">
        <v>1</v>
      </c>
      <c r="J126" s="19">
        <v>7500</v>
      </c>
      <c r="K126" s="19">
        <v>0</v>
      </c>
      <c r="L126" s="1" t="s">
        <v>62</v>
      </c>
      <c r="M126" s="17"/>
      <c r="N126" s="19">
        <f>tblKadry[[#This Row],[Wynagrodzenie_zasadnicze]]+tblKadry[[#This Row],[Dodatek_funkcyjny]]</f>
        <v>7500</v>
      </c>
      <c r="O126" s="19">
        <f>IF(OR(tblKadry[[#This Row],[Wynagrodzenie_zasadnicze]]="",tblKadry[[#This Row],[Etat]]=0),"",tblKadry[[#This Row],[Wynagrodzenie_zasadnicze]]/tblKadry[[#This Row],[Etat]])</f>
        <v>7500</v>
      </c>
      <c r="P126" s="21">
        <f>IF(AND(tblKadry[[#This Row],[Status]]="Aktywny",tblKadry[[#This Row],[Data_zatrudnienia]]&lt;=pDataRaportu),1,0)</f>
        <v>1</v>
      </c>
      <c r="Q126" s="20">
        <f>IF(tblKadry[[#This Row],[Data_zatrudnienia]]&gt;pDataRaportu,0,ROUND(YEARFRAC(tblKadry[[#This Row],[Data_zatrudnienia]],IF(tblKadry[[#This Row],[Data_zwolnienia]]="",pDataRaportu,tblKadry[[#This Row],[Data_zwolnienia]])),1))</f>
        <v>6.1</v>
      </c>
      <c r="R126" s="19">
        <f>tblKadry[[#This Row],[Brutto_mies]]*(1+pNarzut)</f>
        <v>9148.5</v>
      </c>
      <c r="S126" s="19">
        <f>_xlfn.XLOOKUP(tblKadry[[#This Row],[Grupa]],tblWidelki[Grupa],tblWidelki[Środek],"")</f>
        <v>8500</v>
      </c>
      <c r="T126" s="18">
        <f>IF(tblKadry[[#This Row],[Stawka_pełny_etat]]="","",tblKadry[[#This Row],[Stawka_pełny_etat]]/tblKadry[[#This Row],[Środek_widełek]])</f>
        <v>0.88235294117647056</v>
      </c>
      <c r="U12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7" spans="1:22" x14ac:dyDescent="0.3">
      <c r="A127" s="1" t="s">
        <v>144</v>
      </c>
      <c r="B127" s="1" t="s">
        <v>38</v>
      </c>
      <c r="C127" s="1" t="s">
        <v>45</v>
      </c>
      <c r="D127" s="1" t="s">
        <v>66</v>
      </c>
      <c r="E127" s="1" t="s">
        <v>28</v>
      </c>
      <c r="F127" s="1" t="s">
        <v>67</v>
      </c>
      <c r="G127" s="17">
        <v>45371</v>
      </c>
      <c r="H127" s="1" t="s">
        <v>61</v>
      </c>
      <c r="I127" s="18">
        <v>1</v>
      </c>
      <c r="J127" s="19">
        <v>7420</v>
      </c>
      <c r="K127" s="19">
        <v>0</v>
      </c>
      <c r="L127" s="1" t="s">
        <v>62</v>
      </c>
      <c r="M127" s="17"/>
      <c r="N127" s="19">
        <f>tblKadry[[#This Row],[Wynagrodzenie_zasadnicze]]+tblKadry[[#This Row],[Dodatek_funkcyjny]]</f>
        <v>7420</v>
      </c>
      <c r="O127" s="19">
        <f>IF(OR(tblKadry[[#This Row],[Wynagrodzenie_zasadnicze]]="",tblKadry[[#This Row],[Etat]]=0),"",tblKadry[[#This Row],[Wynagrodzenie_zasadnicze]]/tblKadry[[#This Row],[Etat]])</f>
        <v>7420</v>
      </c>
      <c r="P127" s="21">
        <f>IF(AND(tblKadry[[#This Row],[Status]]="Aktywny",tblKadry[[#This Row],[Data_zatrudnienia]]&lt;=pDataRaportu),1,0)</f>
        <v>1</v>
      </c>
      <c r="Q127" s="20">
        <f>IF(tblKadry[[#This Row],[Data_zatrudnienia]]&gt;pDataRaportu,0,ROUND(YEARFRAC(tblKadry[[#This Row],[Data_zatrudnienia]],IF(tblKadry[[#This Row],[Data_zwolnienia]]="",pDataRaportu,tblKadry[[#This Row],[Data_zwolnienia]])),1))</f>
        <v>2.5</v>
      </c>
      <c r="R127" s="19">
        <f>tblKadry[[#This Row],[Brutto_mies]]*(1+pNarzut)</f>
        <v>9050.9159999999993</v>
      </c>
      <c r="S127" s="19">
        <f>_xlfn.XLOOKUP(tblKadry[[#This Row],[Grupa]],tblWidelki[Grupa],tblWidelki[Środek],"")</f>
        <v>8500</v>
      </c>
      <c r="T127" s="18">
        <f>IF(tblKadry[[#This Row],[Stawka_pełny_etat]]="","",tblKadry[[#This Row],[Stawka_pełny_etat]]/tblKadry[[#This Row],[Środek_widełek]])</f>
        <v>0.87294117647058822</v>
      </c>
      <c r="U12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8" spans="1:22" x14ac:dyDescent="0.3">
      <c r="A128" s="1" t="s">
        <v>229</v>
      </c>
      <c r="B128" s="1" t="s">
        <v>39</v>
      </c>
      <c r="C128" s="1" t="s">
        <v>46</v>
      </c>
      <c r="D128" s="1" t="s">
        <v>64</v>
      </c>
      <c r="E128" s="1" t="s">
        <v>28</v>
      </c>
      <c r="F128" s="1" t="s">
        <v>67</v>
      </c>
      <c r="G128" s="17">
        <v>44757</v>
      </c>
      <c r="H128" s="1" t="s">
        <v>61</v>
      </c>
      <c r="I128" s="18">
        <v>1</v>
      </c>
      <c r="J128" s="19">
        <v>7410</v>
      </c>
      <c r="K128" s="19">
        <v>0</v>
      </c>
      <c r="L128" s="1" t="s">
        <v>62</v>
      </c>
      <c r="M128" s="17"/>
      <c r="N128" s="19">
        <f>tblKadry[[#This Row],[Wynagrodzenie_zasadnicze]]+tblKadry[[#This Row],[Dodatek_funkcyjny]]</f>
        <v>7410</v>
      </c>
      <c r="O128" s="19">
        <f>IF(OR(tblKadry[[#This Row],[Wynagrodzenie_zasadnicze]]="",tblKadry[[#This Row],[Etat]]=0),"",tblKadry[[#This Row],[Wynagrodzenie_zasadnicze]]/tblKadry[[#This Row],[Etat]])</f>
        <v>7410</v>
      </c>
      <c r="P128" s="21">
        <f>IF(AND(tblKadry[[#This Row],[Status]]="Aktywny",tblKadry[[#This Row],[Data_zatrudnienia]]&lt;=pDataRaportu),1,0)</f>
        <v>1</v>
      </c>
      <c r="Q128" s="20">
        <f>IF(tblKadry[[#This Row],[Data_zatrudnienia]]&gt;pDataRaportu,0,ROUND(YEARFRAC(tblKadry[[#This Row],[Data_zatrudnienia]],IF(tblKadry[[#This Row],[Data_zwolnienia]]="",pDataRaportu,tblKadry[[#This Row],[Data_zwolnienia]])),1))</f>
        <v>4.2</v>
      </c>
      <c r="R128" s="19">
        <f>tblKadry[[#This Row],[Brutto_mies]]*(1+pNarzut)</f>
        <v>9038.7180000000008</v>
      </c>
      <c r="S128" s="19">
        <f>_xlfn.XLOOKUP(tblKadry[[#This Row],[Grupa]],tblWidelki[Grupa],tblWidelki[Środek],"")</f>
        <v>8500</v>
      </c>
      <c r="T128" s="18">
        <f>IF(tblKadry[[#This Row],[Stawka_pełny_etat]]="","",tblKadry[[#This Row],[Stawka_pełny_etat]]/tblKadry[[#This Row],[Środek_widełek]])</f>
        <v>0.87176470588235289</v>
      </c>
      <c r="U12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29" spans="1:22" x14ac:dyDescent="0.3">
      <c r="A129" s="1" t="s">
        <v>213</v>
      </c>
      <c r="B129" s="1" t="s">
        <v>39</v>
      </c>
      <c r="C129" s="1" t="s">
        <v>43</v>
      </c>
      <c r="D129" s="1" t="s">
        <v>66</v>
      </c>
      <c r="E129" s="1" t="s">
        <v>28</v>
      </c>
      <c r="F129" s="1" t="s">
        <v>67</v>
      </c>
      <c r="G129" s="17">
        <v>46193</v>
      </c>
      <c r="H129" s="1" t="s">
        <v>61</v>
      </c>
      <c r="I129" s="18">
        <v>1</v>
      </c>
      <c r="J129" s="19">
        <v>7360</v>
      </c>
      <c r="K129" s="19">
        <v>0</v>
      </c>
      <c r="L129" s="1" t="s">
        <v>62</v>
      </c>
      <c r="M129" s="17"/>
      <c r="N129" s="19">
        <f>tblKadry[[#This Row],[Wynagrodzenie_zasadnicze]]+tblKadry[[#This Row],[Dodatek_funkcyjny]]</f>
        <v>7360</v>
      </c>
      <c r="O129" s="19">
        <f>IF(OR(tblKadry[[#This Row],[Wynagrodzenie_zasadnicze]]="",tblKadry[[#This Row],[Etat]]=0),"",tblKadry[[#This Row],[Wynagrodzenie_zasadnicze]]/tblKadry[[#This Row],[Etat]])</f>
        <v>7360</v>
      </c>
      <c r="P129" s="21">
        <f>IF(AND(tblKadry[[#This Row],[Status]]="Aktywny",tblKadry[[#This Row],[Data_zatrudnienia]]&lt;=pDataRaportu),1,0)</f>
        <v>1</v>
      </c>
      <c r="Q129" s="20">
        <f>IF(tblKadry[[#This Row],[Data_zatrudnienia]]&gt;pDataRaportu,0,ROUND(YEARFRAC(tblKadry[[#This Row],[Data_zatrudnienia]],IF(tblKadry[[#This Row],[Data_zwolnienia]]="",pDataRaportu,tblKadry[[#This Row],[Data_zwolnienia]])),1))</f>
        <v>0.3</v>
      </c>
      <c r="R129" s="19">
        <f>tblKadry[[#This Row],[Brutto_mies]]*(1+pNarzut)</f>
        <v>8977.7279999999992</v>
      </c>
      <c r="S129" s="19">
        <f>_xlfn.XLOOKUP(tblKadry[[#This Row],[Grupa]],tblWidelki[Grupa],tblWidelki[Środek],"")</f>
        <v>8500</v>
      </c>
      <c r="T129" s="18">
        <f>IF(tblKadry[[#This Row],[Stawka_pełny_etat]]="","",tblKadry[[#This Row],[Stawka_pełny_etat]]/tblKadry[[#This Row],[Środek_widełek]])</f>
        <v>0.86588235294117644</v>
      </c>
      <c r="U12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2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0" spans="1:22" x14ac:dyDescent="0.3">
      <c r="A130" s="1" t="s">
        <v>241</v>
      </c>
      <c r="B130" s="1" t="s">
        <v>38</v>
      </c>
      <c r="C130" s="1" t="s">
        <v>47</v>
      </c>
      <c r="D130" s="1" t="s">
        <v>73</v>
      </c>
      <c r="E130" s="1" t="s">
        <v>26</v>
      </c>
      <c r="F130" s="1" t="s">
        <v>67</v>
      </c>
      <c r="G130" s="17">
        <v>40222</v>
      </c>
      <c r="H130" s="1" t="s">
        <v>61</v>
      </c>
      <c r="I130" s="18">
        <v>1</v>
      </c>
      <c r="J130" s="19">
        <v>7230</v>
      </c>
      <c r="K130" s="19">
        <v>0</v>
      </c>
      <c r="L130" s="1" t="s">
        <v>62</v>
      </c>
      <c r="M130" s="17"/>
      <c r="N130" s="19">
        <f>tblKadry[[#This Row],[Wynagrodzenie_zasadnicze]]+tblKadry[[#This Row],[Dodatek_funkcyjny]]</f>
        <v>7230</v>
      </c>
      <c r="O130" s="19">
        <f>IF(OR(tblKadry[[#This Row],[Wynagrodzenie_zasadnicze]]="",tblKadry[[#This Row],[Etat]]=0),"",tblKadry[[#This Row],[Wynagrodzenie_zasadnicze]]/tblKadry[[#This Row],[Etat]])</f>
        <v>7230</v>
      </c>
      <c r="P130" s="21">
        <f>IF(AND(tblKadry[[#This Row],[Status]]="Aktywny",tblKadry[[#This Row],[Data_zatrudnienia]]&lt;=pDataRaportu),1,0)</f>
        <v>1</v>
      </c>
      <c r="Q130" s="20">
        <f>IF(tblKadry[[#This Row],[Data_zatrudnienia]]&gt;pDataRaportu,0,ROUND(YEARFRAC(tblKadry[[#This Row],[Data_zatrudnienia]],IF(tblKadry[[#This Row],[Data_zwolnienia]]="",pDataRaportu,tblKadry[[#This Row],[Data_zwolnienia]])),1))</f>
        <v>16.600000000000001</v>
      </c>
      <c r="R130" s="19">
        <f>tblKadry[[#This Row],[Brutto_mies]]*(1+pNarzut)</f>
        <v>8819.1540000000005</v>
      </c>
      <c r="S130" s="19">
        <f>_xlfn.XLOOKUP(tblKadry[[#This Row],[Grupa]],tblWidelki[Grupa],tblWidelki[Środek],"")</f>
        <v>6500</v>
      </c>
      <c r="T130" s="18">
        <f>IF(tblKadry[[#This Row],[Stawka_pełny_etat]]="","",tblKadry[[#This Row],[Stawka_pełny_etat]]/tblKadry[[#This Row],[Środek_widełek]])</f>
        <v>1.1123076923076922</v>
      </c>
      <c r="U13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1" spans="1:22" x14ac:dyDescent="0.3">
      <c r="A131" s="1" t="s">
        <v>203</v>
      </c>
      <c r="B131" s="1" t="s">
        <v>38</v>
      </c>
      <c r="C131" s="1" t="s">
        <v>44</v>
      </c>
      <c r="D131" s="1" t="s">
        <v>97</v>
      </c>
      <c r="E131" s="1" t="s">
        <v>28</v>
      </c>
      <c r="F131" s="1" t="s">
        <v>67</v>
      </c>
      <c r="G131" s="17">
        <v>46084</v>
      </c>
      <c r="H131" s="1" t="s">
        <v>61</v>
      </c>
      <c r="I131" s="18">
        <v>1</v>
      </c>
      <c r="J131" s="19">
        <v>7190</v>
      </c>
      <c r="K131" s="19">
        <v>0</v>
      </c>
      <c r="L131" s="1" t="s">
        <v>62</v>
      </c>
      <c r="M131" s="17"/>
      <c r="N131" s="19">
        <f>tblKadry[[#This Row],[Wynagrodzenie_zasadnicze]]+tblKadry[[#This Row],[Dodatek_funkcyjny]]</f>
        <v>7190</v>
      </c>
      <c r="O131" s="19">
        <f>IF(OR(tblKadry[[#This Row],[Wynagrodzenie_zasadnicze]]="",tblKadry[[#This Row],[Etat]]=0),"",tblKadry[[#This Row],[Wynagrodzenie_zasadnicze]]/tblKadry[[#This Row],[Etat]])</f>
        <v>7190</v>
      </c>
      <c r="P131" s="21">
        <f>IF(AND(tblKadry[[#This Row],[Status]]="Aktywny",tblKadry[[#This Row],[Data_zatrudnienia]]&lt;=pDataRaportu),1,0)</f>
        <v>1</v>
      </c>
      <c r="Q131" s="20">
        <f>IF(tblKadry[[#This Row],[Data_zatrudnienia]]&gt;pDataRaportu,0,ROUND(YEARFRAC(tblKadry[[#This Row],[Data_zatrudnienia]],IF(tblKadry[[#This Row],[Data_zwolnienia]]="",pDataRaportu,tblKadry[[#This Row],[Data_zwolnienia]])),1))</f>
        <v>0.6</v>
      </c>
      <c r="R131" s="19">
        <f>tblKadry[[#This Row],[Brutto_mies]]*(1+pNarzut)</f>
        <v>8770.3619999999992</v>
      </c>
      <c r="S131" s="19">
        <f>_xlfn.XLOOKUP(tblKadry[[#This Row],[Grupa]],tblWidelki[Grupa],tblWidelki[Środek],"")</f>
        <v>8500</v>
      </c>
      <c r="T131" s="18">
        <f>IF(tblKadry[[#This Row],[Stawka_pełny_etat]]="","",tblKadry[[#This Row],[Stawka_pełny_etat]]/tblKadry[[#This Row],[Środek_widełek]])</f>
        <v>0.84588235294117642</v>
      </c>
      <c r="U13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2" spans="1:22" x14ac:dyDescent="0.3">
      <c r="A132" s="1" t="s">
        <v>106</v>
      </c>
      <c r="B132" s="1" t="s">
        <v>38</v>
      </c>
      <c r="C132" s="1" t="s">
        <v>43</v>
      </c>
      <c r="D132" s="1" t="s">
        <v>66</v>
      </c>
      <c r="E132" s="1" t="s">
        <v>28</v>
      </c>
      <c r="F132" s="1" t="s">
        <v>67</v>
      </c>
      <c r="G132" s="17">
        <v>45910</v>
      </c>
      <c r="H132" s="1" t="s">
        <v>68</v>
      </c>
      <c r="I132" s="18">
        <v>1</v>
      </c>
      <c r="J132" s="19">
        <v>7080</v>
      </c>
      <c r="K132" s="19">
        <v>0</v>
      </c>
      <c r="L132" s="1" t="s">
        <v>83</v>
      </c>
      <c r="M132" s="17">
        <v>46140</v>
      </c>
      <c r="N132" s="19">
        <f>tblKadry[[#This Row],[Wynagrodzenie_zasadnicze]]+tblKadry[[#This Row],[Dodatek_funkcyjny]]</f>
        <v>7080</v>
      </c>
      <c r="O132" s="19">
        <f>IF(OR(tblKadry[[#This Row],[Wynagrodzenie_zasadnicze]]="",tblKadry[[#This Row],[Etat]]=0),"",tblKadry[[#This Row],[Wynagrodzenie_zasadnicze]]/tblKadry[[#This Row],[Etat]])</f>
        <v>7080</v>
      </c>
      <c r="P132" s="21">
        <f>IF(AND(tblKadry[[#This Row],[Status]]="Aktywny",tblKadry[[#This Row],[Data_zatrudnienia]]&lt;=pDataRaportu),1,0)</f>
        <v>0</v>
      </c>
      <c r="Q132" s="20">
        <f>IF(tblKadry[[#This Row],[Data_zatrudnienia]]&gt;pDataRaportu,0,ROUND(YEARFRAC(tblKadry[[#This Row],[Data_zatrudnienia]],IF(tblKadry[[#This Row],[Data_zwolnienia]]="",pDataRaportu,tblKadry[[#This Row],[Data_zwolnienia]])),1))</f>
        <v>0.6</v>
      </c>
      <c r="R132" s="19">
        <f>tblKadry[[#This Row],[Brutto_mies]]*(1+pNarzut)</f>
        <v>8636.1839999999993</v>
      </c>
      <c r="S132" s="19">
        <f>_xlfn.XLOOKUP(tblKadry[[#This Row],[Grupa]],tblWidelki[Grupa],tblWidelki[Środek],"")</f>
        <v>8500</v>
      </c>
      <c r="T132" s="18">
        <f>IF(tblKadry[[#This Row],[Stawka_pełny_etat]]="","",tblKadry[[#This Row],[Stawka_pełny_etat]]/tblKadry[[#This Row],[Środek_widełek]])</f>
        <v>0.83294117647058818</v>
      </c>
      <c r="U13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3" spans="1:22" x14ac:dyDescent="0.3">
      <c r="A133" s="1" t="s">
        <v>234</v>
      </c>
      <c r="B133" s="1" t="s">
        <v>39</v>
      </c>
      <c r="C133" s="1" t="s">
        <v>47</v>
      </c>
      <c r="D133" s="1" t="s">
        <v>73</v>
      </c>
      <c r="E133" s="1" t="s">
        <v>26</v>
      </c>
      <c r="F133" s="1" t="s">
        <v>67</v>
      </c>
      <c r="G133" s="17">
        <v>43610</v>
      </c>
      <c r="H133" s="1" t="s">
        <v>61</v>
      </c>
      <c r="I133" s="18">
        <v>1</v>
      </c>
      <c r="J133" s="19">
        <v>6760</v>
      </c>
      <c r="K133" s="19">
        <v>0</v>
      </c>
      <c r="L133" s="1" t="s">
        <v>62</v>
      </c>
      <c r="M133" s="17"/>
      <c r="N133" s="19">
        <f>tblKadry[[#This Row],[Wynagrodzenie_zasadnicze]]+tblKadry[[#This Row],[Dodatek_funkcyjny]]</f>
        <v>6760</v>
      </c>
      <c r="O133" s="19">
        <f>IF(OR(tblKadry[[#This Row],[Wynagrodzenie_zasadnicze]]="",tblKadry[[#This Row],[Etat]]=0),"",tblKadry[[#This Row],[Wynagrodzenie_zasadnicze]]/tblKadry[[#This Row],[Etat]])</f>
        <v>6760</v>
      </c>
      <c r="P133" s="21">
        <f>IF(AND(tblKadry[[#This Row],[Status]]="Aktywny",tblKadry[[#This Row],[Data_zatrudnienia]]&lt;=pDataRaportu),1,0)</f>
        <v>1</v>
      </c>
      <c r="Q133" s="20">
        <f>IF(tblKadry[[#This Row],[Data_zatrudnienia]]&gt;pDataRaportu,0,ROUND(YEARFRAC(tblKadry[[#This Row],[Data_zatrudnienia]],IF(tblKadry[[#This Row],[Data_zwolnienia]]="",pDataRaportu,tblKadry[[#This Row],[Data_zwolnienia]])),1))</f>
        <v>7.3</v>
      </c>
      <c r="R133" s="19">
        <f>tblKadry[[#This Row],[Brutto_mies]]*(1+pNarzut)</f>
        <v>8245.848</v>
      </c>
      <c r="S133" s="19">
        <f>_xlfn.XLOOKUP(tblKadry[[#This Row],[Grupa]],tblWidelki[Grupa],tblWidelki[Środek],"")</f>
        <v>6500</v>
      </c>
      <c r="T133" s="18">
        <f>IF(tblKadry[[#This Row],[Stawka_pełny_etat]]="","",tblKadry[[#This Row],[Stawka_pełny_etat]]/tblKadry[[#This Row],[Środek_widełek]])</f>
        <v>1.04</v>
      </c>
      <c r="U13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4" spans="1:22" x14ac:dyDescent="0.3">
      <c r="A134" s="1" t="s">
        <v>148</v>
      </c>
      <c r="B134" s="1" t="s">
        <v>39</v>
      </c>
      <c r="C134" s="1" t="s">
        <v>47</v>
      </c>
      <c r="D134" s="1" t="s">
        <v>94</v>
      </c>
      <c r="E134" s="1" t="s">
        <v>28</v>
      </c>
      <c r="F134" s="1" t="s">
        <v>67</v>
      </c>
      <c r="G134" s="17">
        <v>44782</v>
      </c>
      <c r="H134" s="1" t="s">
        <v>61</v>
      </c>
      <c r="I134" s="18">
        <v>1</v>
      </c>
      <c r="J134" s="19">
        <v>6700</v>
      </c>
      <c r="K134" s="19">
        <v>0</v>
      </c>
      <c r="L134" s="1" t="s">
        <v>62</v>
      </c>
      <c r="M134" s="17"/>
      <c r="N134" s="19">
        <f>tblKadry[[#This Row],[Wynagrodzenie_zasadnicze]]+tblKadry[[#This Row],[Dodatek_funkcyjny]]</f>
        <v>6700</v>
      </c>
      <c r="O134" s="19">
        <f>IF(OR(tblKadry[[#This Row],[Wynagrodzenie_zasadnicze]]="",tblKadry[[#This Row],[Etat]]=0),"",tblKadry[[#This Row],[Wynagrodzenie_zasadnicze]]/tblKadry[[#This Row],[Etat]])</f>
        <v>6700</v>
      </c>
      <c r="P134" s="21">
        <f>IF(AND(tblKadry[[#This Row],[Status]]="Aktywny",tblKadry[[#This Row],[Data_zatrudnienia]]&lt;=pDataRaportu),1,0)</f>
        <v>1</v>
      </c>
      <c r="Q134" s="20">
        <f>IF(tblKadry[[#This Row],[Data_zatrudnienia]]&gt;pDataRaportu,0,ROUND(YEARFRAC(tblKadry[[#This Row],[Data_zatrudnienia]],IF(tblKadry[[#This Row],[Data_zwolnienia]]="",pDataRaportu,tblKadry[[#This Row],[Data_zwolnienia]])),1))</f>
        <v>4.0999999999999996</v>
      </c>
      <c r="R134" s="19">
        <f>tblKadry[[#This Row],[Brutto_mies]]*(1+pNarzut)</f>
        <v>8172.66</v>
      </c>
      <c r="S134" s="19">
        <f>_xlfn.XLOOKUP(tblKadry[[#This Row],[Grupa]],tblWidelki[Grupa],tblWidelki[Środek],"")</f>
        <v>8500</v>
      </c>
      <c r="T134" s="18">
        <f>IF(tblKadry[[#This Row],[Stawka_pełny_etat]]="","",tblKadry[[#This Row],[Stawka_pełny_etat]]/tblKadry[[#This Row],[Środek_widełek]])</f>
        <v>0.78823529411764703</v>
      </c>
      <c r="U13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3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5" spans="1:22" x14ac:dyDescent="0.3">
      <c r="A135" s="1" t="s">
        <v>72</v>
      </c>
      <c r="B135" s="1" t="s">
        <v>38</v>
      </c>
      <c r="C135" s="1" t="s">
        <v>47</v>
      </c>
      <c r="D135" s="1" t="s">
        <v>73</v>
      </c>
      <c r="E135" s="1" t="s">
        <v>26</v>
      </c>
      <c r="F135" s="1" t="s">
        <v>60</v>
      </c>
      <c r="G135" s="17">
        <v>40519</v>
      </c>
      <c r="H135" s="1" t="s">
        <v>61</v>
      </c>
      <c r="I135" s="18">
        <v>1</v>
      </c>
      <c r="J135" s="19">
        <v>6650</v>
      </c>
      <c r="K135" s="19">
        <v>0</v>
      </c>
      <c r="L135" s="1" t="s">
        <v>62</v>
      </c>
      <c r="M135" s="17"/>
      <c r="N135" s="19">
        <f>tblKadry[[#This Row],[Wynagrodzenie_zasadnicze]]+tblKadry[[#This Row],[Dodatek_funkcyjny]]</f>
        <v>6650</v>
      </c>
      <c r="O135" s="19">
        <f>IF(OR(tblKadry[[#This Row],[Wynagrodzenie_zasadnicze]]="",tblKadry[[#This Row],[Etat]]=0),"",tblKadry[[#This Row],[Wynagrodzenie_zasadnicze]]/tblKadry[[#This Row],[Etat]])</f>
        <v>6650</v>
      </c>
      <c r="P135" s="21">
        <f>IF(AND(tblKadry[[#This Row],[Status]]="Aktywny",tblKadry[[#This Row],[Data_zatrudnienia]]&lt;=pDataRaportu),1,0)</f>
        <v>1</v>
      </c>
      <c r="Q135" s="20">
        <f>IF(tblKadry[[#This Row],[Data_zatrudnienia]]&gt;pDataRaportu,0,ROUND(YEARFRAC(tblKadry[[#This Row],[Data_zatrudnienia]],IF(tblKadry[[#This Row],[Data_zwolnienia]]="",pDataRaportu,tblKadry[[#This Row],[Data_zwolnienia]])),1))</f>
        <v>15.8</v>
      </c>
      <c r="R135" s="19">
        <f>tblKadry[[#This Row],[Brutto_mies]]*(1+pNarzut)</f>
        <v>8111.67</v>
      </c>
      <c r="S135" s="19">
        <f>_xlfn.XLOOKUP(tblKadry[[#This Row],[Grupa]],tblWidelki[Grupa],tblWidelki[Środek],"")</f>
        <v>6500</v>
      </c>
      <c r="T135" s="18">
        <f>IF(tblKadry[[#This Row],[Stawka_pełny_etat]]="","",tblKadry[[#This Row],[Stawka_pełny_etat]]/tblKadry[[#This Row],[Środek_widełek]])</f>
        <v>1.023076923076923</v>
      </c>
      <c r="U13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6" spans="1:22" x14ac:dyDescent="0.3">
      <c r="A136" s="1" t="s">
        <v>81</v>
      </c>
      <c r="B136" s="1" t="s">
        <v>38</v>
      </c>
      <c r="C136" s="1" t="s">
        <v>45</v>
      </c>
      <c r="D136" s="1" t="s">
        <v>66</v>
      </c>
      <c r="E136" s="1" t="s">
        <v>28</v>
      </c>
      <c r="F136" s="1" t="s">
        <v>67</v>
      </c>
      <c r="G136" s="17">
        <v>45090</v>
      </c>
      <c r="H136" s="1" t="s">
        <v>61</v>
      </c>
      <c r="I136" s="18">
        <v>0.5</v>
      </c>
      <c r="J136" s="19">
        <v>3305</v>
      </c>
      <c r="K136" s="19">
        <v>0</v>
      </c>
      <c r="L136" s="1" t="s">
        <v>62</v>
      </c>
      <c r="M136" s="17"/>
      <c r="N136" s="19">
        <f>tblKadry[[#This Row],[Wynagrodzenie_zasadnicze]]+tblKadry[[#This Row],[Dodatek_funkcyjny]]</f>
        <v>3305</v>
      </c>
      <c r="O136" s="19">
        <f>IF(OR(tblKadry[[#This Row],[Wynagrodzenie_zasadnicze]]="",tblKadry[[#This Row],[Etat]]=0),"",tblKadry[[#This Row],[Wynagrodzenie_zasadnicze]]/tblKadry[[#This Row],[Etat]])</f>
        <v>6610</v>
      </c>
      <c r="P136" s="21">
        <f>IF(AND(tblKadry[[#This Row],[Status]]="Aktywny",tblKadry[[#This Row],[Data_zatrudnienia]]&lt;=pDataRaportu),1,0)</f>
        <v>1</v>
      </c>
      <c r="Q136" s="20">
        <f>IF(tblKadry[[#This Row],[Data_zatrudnienia]]&gt;pDataRaportu,0,ROUND(YEARFRAC(tblKadry[[#This Row],[Data_zatrudnienia]],IF(tblKadry[[#This Row],[Data_zwolnienia]]="",pDataRaportu,tblKadry[[#This Row],[Data_zwolnienia]])),1))</f>
        <v>3.3</v>
      </c>
      <c r="R136" s="19">
        <f>tblKadry[[#This Row],[Brutto_mies]]*(1+pNarzut)</f>
        <v>4031.4389999999999</v>
      </c>
      <c r="S136" s="19">
        <f>_xlfn.XLOOKUP(tblKadry[[#This Row],[Grupa]],tblWidelki[Grupa],tblWidelki[Środek],"")</f>
        <v>8500</v>
      </c>
      <c r="T136" s="18">
        <f>IF(tblKadry[[#This Row],[Stawka_pełny_etat]]="","",tblKadry[[#This Row],[Stawka_pełny_etat]]/tblKadry[[#This Row],[Środek_widełek]])</f>
        <v>0.77764705882352936</v>
      </c>
      <c r="U13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3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7" spans="1:22" x14ac:dyDescent="0.3">
      <c r="A137" s="1" t="s">
        <v>169</v>
      </c>
      <c r="B137" s="1" t="s">
        <v>38</v>
      </c>
      <c r="C137" s="1" t="s">
        <v>45</v>
      </c>
      <c r="D137" s="1" t="s">
        <v>66</v>
      </c>
      <c r="E137" s="1" t="s">
        <v>28</v>
      </c>
      <c r="F137" s="1" t="s">
        <v>67</v>
      </c>
      <c r="G137" s="17">
        <v>44219</v>
      </c>
      <c r="H137" s="1" t="s">
        <v>61</v>
      </c>
      <c r="I137" s="18">
        <v>1</v>
      </c>
      <c r="J137" s="19">
        <v>6600</v>
      </c>
      <c r="K137" s="19">
        <v>0</v>
      </c>
      <c r="L137" s="1" t="s">
        <v>62</v>
      </c>
      <c r="M137" s="17"/>
      <c r="N137" s="19">
        <f>tblKadry[[#This Row],[Wynagrodzenie_zasadnicze]]+tblKadry[[#This Row],[Dodatek_funkcyjny]]</f>
        <v>6600</v>
      </c>
      <c r="O137" s="19">
        <f>IF(OR(tblKadry[[#This Row],[Wynagrodzenie_zasadnicze]]="",tblKadry[[#This Row],[Etat]]=0),"",tblKadry[[#This Row],[Wynagrodzenie_zasadnicze]]/tblKadry[[#This Row],[Etat]])</f>
        <v>6600</v>
      </c>
      <c r="P137" s="21">
        <f>IF(AND(tblKadry[[#This Row],[Status]]="Aktywny",tblKadry[[#This Row],[Data_zatrudnienia]]&lt;=pDataRaportu),1,0)</f>
        <v>1</v>
      </c>
      <c r="Q137" s="20">
        <f>IF(tblKadry[[#This Row],[Data_zatrudnienia]]&gt;pDataRaportu,0,ROUND(YEARFRAC(tblKadry[[#This Row],[Data_zatrudnienia]],IF(tblKadry[[#This Row],[Data_zwolnienia]]="",pDataRaportu,tblKadry[[#This Row],[Data_zwolnienia]])),1))</f>
        <v>5.7</v>
      </c>
      <c r="R137" s="19">
        <f>tblKadry[[#This Row],[Brutto_mies]]*(1+pNarzut)</f>
        <v>8050.68</v>
      </c>
      <c r="S137" s="19">
        <f>_xlfn.XLOOKUP(tblKadry[[#This Row],[Grupa]],tblWidelki[Grupa],tblWidelki[Środek],"")</f>
        <v>8500</v>
      </c>
      <c r="T137" s="18">
        <f>IF(tblKadry[[#This Row],[Stawka_pełny_etat]]="","",tblKadry[[#This Row],[Stawka_pełny_etat]]/tblKadry[[#This Row],[Środek_widełek]])</f>
        <v>0.77647058823529413</v>
      </c>
      <c r="U13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3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8" spans="1:22" x14ac:dyDescent="0.3">
      <c r="A138" s="1" t="s">
        <v>152</v>
      </c>
      <c r="B138" s="1" t="s">
        <v>40</v>
      </c>
      <c r="C138" s="1" t="s">
        <v>47</v>
      </c>
      <c r="D138" s="1" t="s">
        <v>73</v>
      </c>
      <c r="E138" s="1" t="s">
        <v>26</v>
      </c>
      <c r="F138" s="1" t="s">
        <v>67</v>
      </c>
      <c r="G138" s="17">
        <v>40591</v>
      </c>
      <c r="H138" s="1" t="s">
        <v>61</v>
      </c>
      <c r="I138" s="18">
        <v>1</v>
      </c>
      <c r="J138" s="19">
        <v>6590</v>
      </c>
      <c r="K138" s="19">
        <v>0</v>
      </c>
      <c r="L138" s="1" t="s">
        <v>62</v>
      </c>
      <c r="M138" s="17"/>
      <c r="N138" s="19">
        <f>tblKadry[[#This Row],[Wynagrodzenie_zasadnicze]]+tblKadry[[#This Row],[Dodatek_funkcyjny]]</f>
        <v>6590</v>
      </c>
      <c r="O138" s="19">
        <f>IF(OR(tblKadry[[#This Row],[Wynagrodzenie_zasadnicze]]="",tblKadry[[#This Row],[Etat]]=0),"",tblKadry[[#This Row],[Wynagrodzenie_zasadnicze]]/tblKadry[[#This Row],[Etat]])</f>
        <v>6590</v>
      </c>
      <c r="P138" s="21">
        <f>IF(AND(tblKadry[[#This Row],[Status]]="Aktywny",tblKadry[[#This Row],[Data_zatrudnienia]]&lt;=pDataRaportu),1,0)</f>
        <v>1</v>
      </c>
      <c r="Q138" s="20">
        <f>IF(tblKadry[[#This Row],[Data_zatrudnienia]]&gt;pDataRaportu,0,ROUND(YEARFRAC(tblKadry[[#This Row],[Data_zatrudnienia]],IF(tblKadry[[#This Row],[Data_zwolnienia]]="",pDataRaportu,tblKadry[[#This Row],[Data_zwolnienia]])),1))</f>
        <v>15.6</v>
      </c>
      <c r="R138" s="19">
        <f>tblKadry[[#This Row],[Brutto_mies]]*(1+pNarzut)</f>
        <v>8038.482</v>
      </c>
      <c r="S138" s="19">
        <f>_xlfn.XLOOKUP(tblKadry[[#This Row],[Grupa]],tblWidelki[Grupa],tblWidelki[Środek],"")</f>
        <v>6500</v>
      </c>
      <c r="T138" s="18">
        <f>IF(tblKadry[[#This Row],[Stawka_pełny_etat]]="","",tblKadry[[#This Row],[Stawka_pełny_etat]]/tblKadry[[#This Row],[Środek_widełek]])</f>
        <v>1.0138461538461538</v>
      </c>
      <c r="U13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39" spans="1:22" x14ac:dyDescent="0.3">
      <c r="A139" s="1" t="s">
        <v>248</v>
      </c>
      <c r="B139" s="1" t="s">
        <v>40</v>
      </c>
      <c r="C139" s="1" t="s">
        <v>46</v>
      </c>
      <c r="D139" s="1" t="s">
        <v>99</v>
      </c>
      <c r="E139" s="1" t="s">
        <v>26</v>
      </c>
      <c r="F139" s="1" t="s">
        <v>60</v>
      </c>
      <c r="G139" s="17">
        <v>45823</v>
      </c>
      <c r="H139" s="1" t="s">
        <v>61</v>
      </c>
      <c r="I139" s="18">
        <v>0.75</v>
      </c>
      <c r="J139" s="19">
        <v>4875</v>
      </c>
      <c r="K139" s="19">
        <v>0</v>
      </c>
      <c r="L139" s="1" t="s">
        <v>62</v>
      </c>
      <c r="M139" s="17"/>
      <c r="N139" s="19">
        <f>tblKadry[[#This Row],[Wynagrodzenie_zasadnicze]]+tblKadry[[#This Row],[Dodatek_funkcyjny]]</f>
        <v>4875</v>
      </c>
      <c r="O139" s="19">
        <f>IF(OR(tblKadry[[#This Row],[Wynagrodzenie_zasadnicze]]="",tblKadry[[#This Row],[Etat]]=0),"",tblKadry[[#This Row],[Wynagrodzenie_zasadnicze]]/tblKadry[[#This Row],[Etat]])</f>
        <v>6500</v>
      </c>
      <c r="P139" s="21">
        <f>IF(AND(tblKadry[[#This Row],[Status]]="Aktywny",tblKadry[[#This Row],[Data_zatrudnienia]]&lt;=pDataRaportu),1,0)</f>
        <v>1</v>
      </c>
      <c r="Q139" s="20">
        <f>IF(tblKadry[[#This Row],[Data_zatrudnienia]]&gt;pDataRaportu,0,ROUND(YEARFRAC(tblKadry[[#This Row],[Data_zatrudnienia]],IF(tblKadry[[#This Row],[Data_zwolnienia]]="",pDataRaportu,tblKadry[[#This Row],[Data_zwolnienia]])),1))</f>
        <v>1.3</v>
      </c>
      <c r="R139" s="19">
        <f>tblKadry[[#This Row],[Brutto_mies]]*(1+pNarzut)</f>
        <v>5946.5249999999996</v>
      </c>
      <c r="S139" s="19">
        <f>_xlfn.XLOOKUP(tblKadry[[#This Row],[Grupa]],tblWidelki[Grupa],tblWidelki[Środek],"")</f>
        <v>6500</v>
      </c>
      <c r="T139" s="18">
        <f>IF(tblKadry[[#This Row],[Stawka_pełny_etat]]="","",tblKadry[[#This Row],[Stawka_pełny_etat]]/tblKadry[[#This Row],[Środek_widełek]])</f>
        <v>1</v>
      </c>
      <c r="U13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3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0" spans="1:22" x14ac:dyDescent="0.3">
      <c r="A140" s="1" t="s">
        <v>237</v>
      </c>
      <c r="B140" s="1" t="s">
        <v>38</v>
      </c>
      <c r="C140" s="1" t="s">
        <v>46</v>
      </c>
      <c r="D140" s="1" t="s">
        <v>99</v>
      </c>
      <c r="E140" s="1" t="s">
        <v>26</v>
      </c>
      <c r="F140" s="1" t="s">
        <v>67</v>
      </c>
      <c r="G140" s="17">
        <v>43959</v>
      </c>
      <c r="H140" s="1" t="s">
        <v>61</v>
      </c>
      <c r="I140" s="18">
        <v>1</v>
      </c>
      <c r="J140" s="19">
        <v>6500</v>
      </c>
      <c r="K140" s="19">
        <v>0</v>
      </c>
      <c r="L140" s="1" t="s">
        <v>62</v>
      </c>
      <c r="M140" s="17"/>
      <c r="N140" s="19">
        <f>tblKadry[[#This Row],[Wynagrodzenie_zasadnicze]]+tblKadry[[#This Row],[Dodatek_funkcyjny]]</f>
        <v>6500</v>
      </c>
      <c r="O140" s="19">
        <f>IF(OR(tblKadry[[#This Row],[Wynagrodzenie_zasadnicze]]="",tblKadry[[#This Row],[Etat]]=0),"",tblKadry[[#This Row],[Wynagrodzenie_zasadnicze]]/tblKadry[[#This Row],[Etat]])</f>
        <v>6500</v>
      </c>
      <c r="P140" s="21">
        <f>IF(AND(tblKadry[[#This Row],[Status]]="Aktywny",tblKadry[[#This Row],[Data_zatrudnienia]]&lt;=pDataRaportu),1,0)</f>
        <v>1</v>
      </c>
      <c r="Q140" s="20">
        <f>IF(tblKadry[[#This Row],[Data_zatrudnienia]]&gt;pDataRaportu,0,ROUND(YEARFRAC(tblKadry[[#This Row],[Data_zatrudnienia]],IF(tblKadry[[#This Row],[Data_zwolnienia]]="",pDataRaportu,tblKadry[[#This Row],[Data_zwolnienia]])),1))</f>
        <v>6.4</v>
      </c>
      <c r="R140" s="19">
        <f>tblKadry[[#This Row],[Brutto_mies]]*(1+pNarzut)</f>
        <v>7928.7</v>
      </c>
      <c r="S140" s="19">
        <f>_xlfn.XLOOKUP(tblKadry[[#This Row],[Grupa]],tblWidelki[Grupa],tblWidelki[Środek],"")</f>
        <v>6500</v>
      </c>
      <c r="T140" s="18">
        <f>IF(tblKadry[[#This Row],[Stawka_pełny_etat]]="","",tblKadry[[#This Row],[Stawka_pełny_etat]]/tblKadry[[#This Row],[Środek_widełek]])</f>
        <v>1</v>
      </c>
      <c r="U14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1" spans="1:22" x14ac:dyDescent="0.3">
      <c r="A141" s="1" t="s">
        <v>114</v>
      </c>
      <c r="B141" s="1" t="s">
        <v>39</v>
      </c>
      <c r="C141" s="1" t="s">
        <v>47</v>
      </c>
      <c r="D141" s="1" t="s">
        <v>73</v>
      </c>
      <c r="E141" s="1" t="s">
        <v>26</v>
      </c>
      <c r="F141" s="1" t="s">
        <v>67</v>
      </c>
      <c r="G141" s="17">
        <v>41952</v>
      </c>
      <c r="H141" s="1" t="s">
        <v>61</v>
      </c>
      <c r="I141" s="18">
        <v>0.75</v>
      </c>
      <c r="J141" s="19">
        <v>4838</v>
      </c>
      <c r="K141" s="19">
        <v>0</v>
      </c>
      <c r="L141" s="1" t="s">
        <v>83</v>
      </c>
      <c r="M141" s="17">
        <v>46262</v>
      </c>
      <c r="N141" s="19">
        <f>tblKadry[[#This Row],[Wynagrodzenie_zasadnicze]]+tblKadry[[#This Row],[Dodatek_funkcyjny]]</f>
        <v>4838</v>
      </c>
      <c r="O141" s="19">
        <f>IF(OR(tblKadry[[#This Row],[Wynagrodzenie_zasadnicze]]="",tblKadry[[#This Row],[Etat]]=0),"",tblKadry[[#This Row],[Wynagrodzenie_zasadnicze]]/tblKadry[[#This Row],[Etat]])</f>
        <v>6450.666666666667</v>
      </c>
      <c r="P141" s="21">
        <f>IF(AND(tblKadry[[#This Row],[Status]]="Aktywny",tblKadry[[#This Row],[Data_zatrudnienia]]&lt;=pDataRaportu),1,0)</f>
        <v>0</v>
      </c>
      <c r="Q141" s="20">
        <f>IF(tblKadry[[#This Row],[Data_zatrudnienia]]&gt;pDataRaportu,0,ROUND(YEARFRAC(tblKadry[[#This Row],[Data_zatrudnienia]],IF(tblKadry[[#This Row],[Data_zwolnienia]]="",pDataRaportu,tblKadry[[#This Row],[Data_zwolnienia]])),1))</f>
        <v>11.8</v>
      </c>
      <c r="R141" s="19">
        <f>tblKadry[[#This Row],[Brutto_mies]]*(1+pNarzut)</f>
        <v>5901.3923999999997</v>
      </c>
      <c r="S141" s="19">
        <f>_xlfn.XLOOKUP(tblKadry[[#This Row],[Grupa]],tblWidelki[Grupa],tblWidelki[Środek],"")</f>
        <v>6500</v>
      </c>
      <c r="T141" s="18">
        <f>IF(tblKadry[[#This Row],[Stawka_pełny_etat]]="","",tblKadry[[#This Row],[Stawka_pełny_etat]]/tblKadry[[#This Row],[Środek_widełek]])</f>
        <v>0.99241025641025649</v>
      </c>
      <c r="U14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2" spans="1:22" x14ac:dyDescent="0.3">
      <c r="A142" s="1" t="s">
        <v>242</v>
      </c>
      <c r="B142" s="1" t="s">
        <v>41</v>
      </c>
      <c r="C142" s="1" t="s">
        <v>46</v>
      </c>
      <c r="D142" s="1" t="s">
        <v>99</v>
      </c>
      <c r="E142" s="1" t="s">
        <v>26</v>
      </c>
      <c r="F142" s="1" t="s">
        <v>67</v>
      </c>
      <c r="G142" s="17">
        <v>46054</v>
      </c>
      <c r="H142" s="1" t="s">
        <v>68</v>
      </c>
      <c r="I142" s="18">
        <v>1</v>
      </c>
      <c r="J142" s="19">
        <v>6410</v>
      </c>
      <c r="K142" s="19">
        <v>0</v>
      </c>
      <c r="L142" s="1" t="s">
        <v>83</v>
      </c>
      <c r="M142" s="17">
        <v>46201</v>
      </c>
      <c r="N142" s="19">
        <f>tblKadry[[#This Row],[Wynagrodzenie_zasadnicze]]+tblKadry[[#This Row],[Dodatek_funkcyjny]]</f>
        <v>6410</v>
      </c>
      <c r="O142" s="19">
        <f>IF(OR(tblKadry[[#This Row],[Wynagrodzenie_zasadnicze]]="",tblKadry[[#This Row],[Etat]]=0),"",tblKadry[[#This Row],[Wynagrodzenie_zasadnicze]]/tblKadry[[#This Row],[Etat]])</f>
        <v>6410</v>
      </c>
      <c r="P142" s="21">
        <f>IF(AND(tblKadry[[#This Row],[Status]]="Aktywny",tblKadry[[#This Row],[Data_zatrudnienia]]&lt;=pDataRaportu),1,0)</f>
        <v>0</v>
      </c>
      <c r="Q142" s="20">
        <f>IF(tblKadry[[#This Row],[Data_zatrudnienia]]&gt;pDataRaportu,0,ROUND(YEARFRAC(tblKadry[[#This Row],[Data_zatrudnienia]],IF(tblKadry[[#This Row],[Data_zwolnienia]]="",pDataRaportu,tblKadry[[#This Row],[Data_zwolnienia]])),1))</f>
        <v>0.4</v>
      </c>
      <c r="R142" s="19">
        <f>tblKadry[[#This Row],[Brutto_mies]]*(1+pNarzut)</f>
        <v>7818.9179999999997</v>
      </c>
      <c r="S142" s="19">
        <f>_xlfn.XLOOKUP(tblKadry[[#This Row],[Grupa]],tblWidelki[Grupa],tblWidelki[Środek],"")</f>
        <v>6500</v>
      </c>
      <c r="T142" s="18">
        <f>IF(tblKadry[[#This Row],[Stawka_pełny_etat]]="","",tblKadry[[#This Row],[Stawka_pełny_etat]]/tblKadry[[#This Row],[Środek_widełek]])</f>
        <v>0.98615384615384616</v>
      </c>
      <c r="U14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3" spans="1:22" x14ac:dyDescent="0.3">
      <c r="A143" s="1" t="s">
        <v>145</v>
      </c>
      <c r="B143" s="1" t="s">
        <v>41</v>
      </c>
      <c r="C143" s="1" t="s">
        <v>47</v>
      </c>
      <c r="D143" s="1" t="s">
        <v>73</v>
      </c>
      <c r="E143" s="1" t="s">
        <v>26</v>
      </c>
      <c r="F143" s="1" t="s">
        <v>67</v>
      </c>
      <c r="G143" s="17">
        <v>43362</v>
      </c>
      <c r="H143" s="1" t="s">
        <v>61</v>
      </c>
      <c r="I143" s="18">
        <v>1</v>
      </c>
      <c r="J143" s="19">
        <v>6410</v>
      </c>
      <c r="K143" s="19">
        <v>0</v>
      </c>
      <c r="L143" s="1" t="s">
        <v>62</v>
      </c>
      <c r="M143" s="17"/>
      <c r="N143" s="19">
        <f>tblKadry[[#This Row],[Wynagrodzenie_zasadnicze]]+tblKadry[[#This Row],[Dodatek_funkcyjny]]</f>
        <v>6410</v>
      </c>
      <c r="O143" s="19">
        <f>IF(OR(tblKadry[[#This Row],[Wynagrodzenie_zasadnicze]]="",tblKadry[[#This Row],[Etat]]=0),"",tblKadry[[#This Row],[Wynagrodzenie_zasadnicze]]/tblKadry[[#This Row],[Etat]])</f>
        <v>6410</v>
      </c>
      <c r="P143" s="21">
        <f>IF(AND(tblKadry[[#This Row],[Status]]="Aktywny",tblKadry[[#This Row],[Data_zatrudnienia]]&lt;=pDataRaportu),1,0)</f>
        <v>1</v>
      </c>
      <c r="Q143" s="20">
        <f>IF(tblKadry[[#This Row],[Data_zatrudnienia]]&gt;pDataRaportu,0,ROUND(YEARFRAC(tblKadry[[#This Row],[Data_zatrudnienia]],IF(tblKadry[[#This Row],[Data_zwolnienia]]="",pDataRaportu,tblKadry[[#This Row],[Data_zwolnienia]])),1))</f>
        <v>8</v>
      </c>
      <c r="R143" s="19">
        <f>tblKadry[[#This Row],[Brutto_mies]]*(1+pNarzut)</f>
        <v>7818.9179999999997</v>
      </c>
      <c r="S143" s="19">
        <f>_xlfn.XLOOKUP(tblKadry[[#This Row],[Grupa]],tblWidelki[Grupa],tblWidelki[Środek],"")</f>
        <v>6500</v>
      </c>
      <c r="T143" s="18">
        <f>IF(tblKadry[[#This Row],[Stawka_pełny_etat]]="","",tblKadry[[#This Row],[Stawka_pełny_etat]]/tblKadry[[#This Row],[Środek_widełek]])</f>
        <v>0.98615384615384616</v>
      </c>
      <c r="U14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4" spans="1:22" x14ac:dyDescent="0.3">
      <c r="A144" s="1" t="s">
        <v>141</v>
      </c>
      <c r="B144" s="1" t="s">
        <v>41</v>
      </c>
      <c r="C144" s="1" t="s">
        <v>45</v>
      </c>
      <c r="D144" s="1" t="s">
        <v>66</v>
      </c>
      <c r="E144" s="1" t="s">
        <v>28</v>
      </c>
      <c r="F144" s="1" t="s">
        <v>67</v>
      </c>
      <c r="G144" s="17">
        <v>43299</v>
      </c>
      <c r="H144" s="1" t="s">
        <v>61</v>
      </c>
      <c r="I144" s="18">
        <v>1.25</v>
      </c>
      <c r="J144" s="19">
        <v>7850</v>
      </c>
      <c r="K144" s="19">
        <v>0</v>
      </c>
      <c r="L144" s="1" t="s">
        <v>62</v>
      </c>
      <c r="M144" s="17"/>
      <c r="N144" s="19">
        <f>tblKadry[[#This Row],[Wynagrodzenie_zasadnicze]]+tblKadry[[#This Row],[Dodatek_funkcyjny]]</f>
        <v>7850</v>
      </c>
      <c r="O144" s="19">
        <f>IF(OR(tblKadry[[#This Row],[Wynagrodzenie_zasadnicze]]="",tblKadry[[#This Row],[Etat]]=0),"",tblKadry[[#This Row],[Wynagrodzenie_zasadnicze]]/tblKadry[[#This Row],[Etat]])</f>
        <v>6280</v>
      </c>
      <c r="P144" s="21">
        <f>IF(AND(tblKadry[[#This Row],[Status]]="Aktywny",tblKadry[[#This Row],[Data_zatrudnienia]]&lt;=pDataRaportu),1,0)</f>
        <v>1</v>
      </c>
      <c r="Q144" s="20">
        <f>IF(tblKadry[[#This Row],[Data_zatrudnienia]]&gt;pDataRaportu,0,ROUND(YEARFRAC(tblKadry[[#This Row],[Data_zatrudnienia]],IF(tblKadry[[#This Row],[Data_zwolnienia]]="",pDataRaportu,tblKadry[[#This Row],[Data_zwolnienia]])),1))</f>
        <v>8.1999999999999993</v>
      </c>
      <c r="R144" s="19">
        <f>tblKadry[[#This Row],[Brutto_mies]]*(1+pNarzut)</f>
        <v>9575.43</v>
      </c>
      <c r="S144" s="19">
        <f>_xlfn.XLOOKUP(tblKadry[[#This Row],[Grupa]],tblWidelki[Grupa],tblWidelki[Środek],"")</f>
        <v>8500</v>
      </c>
      <c r="T144" s="18">
        <f>IF(tblKadry[[#This Row],[Stawka_pełny_etat]]="","",tblKadry[[#This Row],[Stawka_pełny_etat]]/tblKadry[[#This Row],[Środek_widełek]])</f>
        <v>0.73882352941176466</v>
      </c>
      <c r="U14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4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Nieprawidłowy etat</v>
      </c>
    </row>
    <row r="145" spans="1:22" x14ac:dyDescent="0.3">
      <c r="A145" s="1" t="s">
        <v>91</v>
      </c>
      <c r="B145" s="1" t="s">
        <v>38</v>
      </c>
      <c r="C145" s="1" t="s">
        <v>47</v>
      </c>
      <c r="D145" s="1" t="s">
        <v>73</v>
      </c>
      <c r="E145" s="1" t="s">
        <v>26</v>
      </c>
      <c r="F145" s="1" t="s">
        <v>67</v>
      </c>
      <c r="G145" s="17">
        <v>44564</v>
      </c>
      <c r="H145" s="1" t="s">
        <v>61</v>
      </c>
      <c r="I145" s="18">
        <v>1</v>
      </c>
      <c r="J145" s="19">
        <v>6210</v>
      </c>
      <c r="K145" s="19">
        <v>0</v>
      </c>
      <c r="L145" s="1" t="s">
        <v>62</v>
      </c>
      <c r="M145" s="17"/>
      <c r="N145" s="19">
        <f>tblKadry[[#This Row],[Wynagrodzenie_zasadnicze]]+tblKadry[[#This Row],[Dodatek_funkcyjny]]</f>
        <v>6210</v>
      </c>
      <c r="O145" s="19">
        <f>IF(OR(tblKadry[[#This Row],[Wynagrodzenie_zasadnicze]]="",tblKadry[[#This Row],[Etat]]=0),"",tblKadry[[#This Row],[Wynagrodzenie_zasadnicze]]/tblKadry[[#This Row],[Etat]])</f>
        <v>6210</v>
      </c>
      <c r="P145" s="21">
        <f>IF(AND(tblKadry[[#This Row],[Status]]="Aktywny",tblKadry[[#This Row],[Data_zatrudnienia]]&lt;=pDataRaportu),1,0)</f>
        <v>1</v>
      </c>
      <c r="Q145" s="20">
        <f>IF(tblKadry[[#This Row],[Data_zatrudnienia]]&gt;pDataRaportu,0,ROUND(YEARFRAC(tblKadry[[#This Row],[Data_zatrudnienia]],IF(tblKadry[[#This Row],[Data_zwolnienia]]="",pDataRaportu,tblKadry[[#This Row],[Data_zwolnienia]])),1))</f>
        <v>4.7</v>
      </c>
      <c r="R145" s="19">
        <f>tblKadry[[#This Row],[Brutto_mies]]*(1+pNarzut)</f>
        <v>7574.9579999999996</v>
      </c>
      <c r="S145" s="19">
        <f>_xlfn.XLOOKUP(tblKadry[[#This Row],[Grupa]],tblWidelki[Grupa],tblWidelki[Środek],"")</f>
        <v>6500</v>
      </c>
      <c r="T145" s="18">
        <f>IF(tblKadry[[#This Row],[Stawka_pełny_etat]]="","",tblKadry[[#This Row],[Stawka_pełny_etat]]/tblKadry[[#This Row],[Środek_widełek]])</f>
        <v>0.95538461538461539</v>
      </c>
      <c r="U14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6" spans="1:22" x14ac:dyDescent="0.3">
      <c r="A146" s="1" t="s">
        <v>185</v>
      </c>
      <c r="B146" s="1" t="s">
        <v>38</v>
      </c>
      <c r="C146" s="1" t="s">
        <v>46</v>
      </c>
      <c r="D146" s="1" t="s">
        <v>99</v>
      </c>
      <c r="E146" s="1" t="s">
        <v>26</v>
      </c>
      <c r="F146" s="1" t="s">
        <v>67</v>
      </c>
      <c r="G146" s="17">
        <v>44682</v>
      </c>
      <c r="H146" s="1" t="s">
        <v>61</v>
      </c>
      <c r="I146" s="18">
        <v>0.5</v>
      </c>
      <c r="J146" s="19">
        <v>3050</v>
      </c>
      <c r="K146" s="19">
        <v>0</v>
      </c>
      <c r="L146" s="1" t="s">
        <v>62</v>
      </c>
      <c r="M146" s="17"/>
      <c r="N146" s="19">
        <f>tblKadry[[#This Row],[Wynagrodzenie_zasadnicze]]+tblKadry[[#This Row],[Dodatek_funkcyjny]]</f>
        <v>3050</v>
      </c>
      <c r="O146" s="19">
        <f>IF(OR(tblKadry[[#This Row],[Wynagrodzenie_zasadnicze]]="",tblKadry[[#This Row],[Etat]]=0),"",tblKadry[[#This Row],[Wynagrodzenie_zasadnicze]]/tblKadry[[#This Row],[Etat]])</f>
        <v>6100</v>
      </c>
      <c r="P146" s="21">
        <f>IF(AND(tblKadry[[#This Row],[Status]]="Aktywny",tblKadry[[#This Row],[Data_zatrudnienia]]&lt;=pDataRaportu),1,0)</f>
        <v>1</v>
      </c>
      <c r="Q146" s="20">
        <f>IF(tblKadry[[#This Row],[Data_zatrudnienia]]&gt;pDataRaportu,0,ROUND(YEARFRAC(tblKadry[[#This Row],[Data_zatrudnienia]],IF(tblKadry[[#This Row],[Data_zwolnienia]]="",pDataRaportu,tblKadry[[#This Row],[Data_zwolnienia]])),1))</f>
        <v>4.4000000000000004</v>
      </c>
      <c r="R146" s="19">
        <f>tblKadry[[#This Row],[Brutto_mies]]*(1+pNarzut)</f>
        <v>3720.39</v>
      </c>
      <c r="S146" s="19">
        <f>_xlfn.XLOOKUP(tblKadry[[#This Row],[Grupa]],tblWidelki[Grupa],tblWidelki[Środek],"")</f>
        <v>6500</v>
      </c>
      <c r="T146" s="18">
        <f>IF(tblKadry[[#This Row],[Stawka_pełny_etat]]="","",tblKadry[[#This Row],[Stawka_pełny_etat]]/tblKadry[[#This Row],[Środek_widełek]])</f>
        <v>0.93846153846153846</v>
      </c>
      <c r="U14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7" spans="1:22" x14ac:dyDescent="0.3">
      <c r="A147" s="1" t="s">
        <v>233</v>
      </c>
      <c r="B147" s="1" t="s">
        <v>41</v>
      </c>
      <c r="C147" s="1" t="s">
        <v>47</v>
      </c>
      <c r="D147" s="1" t="s">
        <v>80</v>
      </c>
      <c r="E147" s="1" t="s">
        <v>24</v>
      </c>
      <c r="F147" s="1" t="s">
        <v>67</v>
      </c>
      <c r="G147" s="17">
        <v>43480</v>
      </c>
      <c r="H147" s="1" t="s">
        <v>61</v>
      </c>
      <c r="I147" s="18">
        <v>1</v>
      </c>
      <c r="J147" s="19">
        <v>6030</v>
      </c>
      <c r="K147" s="19">
        <v>0</v>
      </c>
      <c r="L147" s="1" t="s">
        <v>83</v>
      </c>
      <c r="M147" s="17">
        <v>45744</v>
      </c>
      <c r="N147" s="19">
        <f>tblKadry[[#This Row],[Wynagrodzenie_zasadnicze]]+tblKadry[[#This Row],[Dodatek_funkcyjny]]</f>
        <v>6030</v>
      </c>
      <c r="O147" s="19">
        <f>IF(OR(tblKadry[[#This Row],[Wynagrodzenie_zasadnicze]]="",tblKadry[[#This Row],[Etat]]=0),"",tblKadry[[#This Row],[Wynagrodzenie_zasadnicze]]/tblKadry[[#This Row],[Etat]])</f>
        <v>6030</v>
      </c>
      <c r="P147" s="21">
        <f>IF(AND(tblKadry[[#This Row],[Status]]="Aktywny",tblKadry[[#This Row],[Data_zatrudnienia]]&lt;=pDataRaportu),1,0)</f>
        <v>0</v>
      </c>
      <c r="Q147" s="20">
        <f>IF(tblKadry[[#This Row],[Data_zatrudnienia]]&gt;pDataRaportu,0,ROUND(YEARFRAC(tblKadry[[#This Row],[Data_zatrudnienia]],IF(tblKadry[[#This Row],[Data_zwolnienia]]="",pDataRaportu,tblKadry[[#This Row],[Data_zwolnienia]])),1))</f>
        <v>6.2</v>
      </c>
      <c r="R147" s="19">
        <f>tblKadry[[#This Row],[Brutto_mies]]*(1+pNarzut)</f>
        <v>7355.3940000000002</v>
      </c>
      <c r="S147" s="19">
        <f>_xlfn.XLOOKUP(tblKadry[[#This Row],[Grupa]],tblWidelki[Grupa],tblWidelki[Środek],"")</f>
        <v>5303</v>
      </c>
      <c r="T147" s="18">
        <f>IF(tblKadry[[#This Row],[Stawka_pełny_etat]]="","",tblKadry[[#This Row],[Stawka_pełny_etat]]/tblKadry[[#This Row],[Środek_widełek]])</f>
        <v>1.1370922119554969</v>
      </c>
      <c r="U14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14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8" spans="1:22" x14ac:dyDescent="0.3">
      <c r="A148" s="1" t="s">
        <v>206</v>
      </c>
      <c r="B148" s="1" t="s">
        <v>41</v>
      </c>
      <c r="C148" s="1" t="s">
        <v>47</v>
      </c>
      <c r="D148" s="1" t="s">
        <v>73</v>
      </c>
      <c r="E148" s="1" t="s">
        <v>26</v>
      </c>
      <c r="F148" s="1" t="s">
        <v>67</v>
      </c>
      <c r="G148" s="17">
        <v>43869</v>
      </c>
      <c r="H148" s="1" t="s">
        <v>61</v>
      </c>
      <c r="I148" s="18">
        <v>1</v>
      </c>
      <c r="J148" s="19">
        <v>6020</v>
      </c>
      <c r="K148" s="19">
        <v>0</v>
      </c>
      <c r="L148" s="1" t="s">
        <v>83</v>
      </c>
      <c r="M148" s="17">
        <v>46109</v>
      </c>
      <c r="N148" s="19">
        <f>tblKadry[[#This Row],[Wynagrodzenie_zasadnicze]]+tblKadry[[#This Row],[Dodatek_funkcyjny]]</f>
        <v>6020</v>
      </c>
      <c r="O148" s="19">
        <f>IF(OR(tblKadry[[#This Row],[Wynagrodzenie_zasadnicze]]="",tblKadry[[#This Row],[Etat]]=0),"",tblKadry[[#This Row],[Wynagrodzenie_zasadnicze]]/tblKadry[[#This Row],[Etat]])</f>
        <v>6020</v>
      </c>
      <c r="P148" s="21">
        <f>IF(AND(tblKadry[[#This Row],[Status]]="Aktywny",tblKadry[[#This Row],[Data_zatrudnienia]]&lt;=pDataRaportu),1,0)</f>
        <v>0</v>
      </c>
      <c r="Q148" s="20">
        <f>IF(tblKadry[[#This Row],[Data_zatrudnienia]]&gt;pDataRaportu,0,ROUND(YEARFRAC(tblKadry[[#This Row],[Data_zatrudnienia]],IF(tblKadry[[#This Row],[Data_zwolnienia]]="",pDataRaportu,tblKadry[[#This Row],[Data_zwolnienia]])),1))</f>
        <v>6.1</v>
      </c>
      <c r="R148" s="19">
        <f>tblKadry[[#This Row],[Brutto_mies]]*(1+pNarzut)</f>
        <v>7343.1959999999999</v>
      </c>
      <c r="S148" s="19">
        <f>_xlfn.XLOOKUP(tblKadry[[#This Row],[Grupa]],tblWidelki[Grupa],tblWidelki[Środek],"")</f>
        <v>6500</v>
      </c>
      <c r="T148" s="18">
        <f>IF(tblKadry[[#This Row],[Stawka_pełny_etat]]="","",tblKadry[[#This Row],[Stawka_pełny_etat]]/tblKadry[[#This Row],[Środek_widełek]])</f>
        <v>0.92615384615384611</v>
      </c>
      <c r="U14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4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49" spans="1:22" x14ac:dyDescent="0.3">
      <c r="A149" s="1" t="s">
        <v>189</v>
      </c>
      <c r="B149" s="1" t="s">
        <v>39</v>
      </c>
      <c r="C149" s="1" t="s">
        <v>43</v>
      </c>
      <c r="D149" s="1" t="s">
        <v>59</v>
      </c>
      <c r="E149" s="1" t="s">
        <v>24</v>
      </c>
      <c r="F149" s="1" t="s">
        <v>67</v>
      </c>
      <c r="G149" s="17">
        <v>45878</v>
      </c>
      <c r="H149" s="1" t="s">
        <v>61</v>
      </c>
      <c r="I149" s="18">
        <v>1</v>
      </c>
      <c r="J149" s="19">
        <v>6010</v>
      </c>
      <c r="K149" s="19">
        <v>0</v>
      </c>
      <c r="L149" s="1" t="s">
        <v>62</v>
      </c>
      <c r="M149" s="17"/>
      <c r="N149" s="19">
        <f>tblKadry[[#This Row],[Wynagrodzenie_zasadnicze]]+tblKadry[[#This Row],[Dodatek_funkcyjny]]</f>
        <v>6010</v>
      </c>
      <c r="O149" s="19">
        <f>IF(OR(tblKadry[[#This Row],[Wynagrodzenie_zasadnicze]]="",tblKadry[[#This Row],[Etat]]=0),"",tblKadry[[#This Row],[Wynagrodzenie_zasadnicze]]/tblKadry[[#This Row],[Etat]])</f>
        <v>6010</v>
      </c>
      <c r="P149" s="21">
        <f>IF(AND(tblKadry[[#This Row],[Status]]="Aktywny",tblKadry[[#This Row],[Data_zatrudnienia]]&lt;=pDataRaportu),1,0)</f>
        <v>1</v>
      </c>
      <c r="Q149" s="20">
        <f>IF(tblKadry[[#This Row],[Data_zatrudnienia]]&gt;pDataRaportu,0,ROUND(YEARFRAC(tblKadry[[#This Row],[Data_zatrudnienia]],IF(tblKadry[[#This Row],[Data_zwolnienia]]="",pDataRaportu,tblKadry[[#This Row],[Data_zwolnienia]])),1))</f>
        <v>1.1000000000000001</v>
      </c>
      <c r="R149" s="19">
        <f>tblKadry[[#This Row],[Brutto_mies]]*(1+pNarzut)</f>
        <v>7330.9979999999996</v>
      </c>
      <c r="S149" s="19">
        <f>_xlfn.XLOOKUP(tblKadry[[#This Row],[Grupa]],tblWidelki[Grupa],tblWidelki[Środek],"")</f>
        <v>5303</v>
      </c>
      <c r="T149" s="18">
        <f>IF(tblKadry[[#This Row],[Stawka_pełny_etat]]="","",tblKadry[[#This Row],[Stawka_pełny_etat]]/tblKadry[[#This Row],[Środek_widełek]])</f>
        <v>1.1333207618329249</v>
      </c>
      <c r="U14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14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0" spans="1:22" x14ac:dyDescent="0.3">
      <c r="A150" s="1" t="s">
        <v>235</v>
      </c>
      <c r="B150" s="1" t="s">
        <v>41</v>
      </c>
      <c r="C150" s="1" t="s">
        <v>47</v>
      </c>
      <c r="D150" s="1" t="s">
        <v>80</v>
      </c>
      <c r="E150" s="1" t="s">
        <v>24</v>
      </c>
      <c r="F150" s="1" t="s">
        <v>67</v>
      </c>
      <c r="G150" s="17">
        <v>45772</v>
      </c>
      <c r="H150" s="1" t="s">
        <v>61</v>
      </c>
      <c r="I150" s="18">
        <v>1</v>
      </c>
      <c r="J150" s="19">
        <v>6010</v>
      </c>
      <c r="K150" s="19">
        <v>0</v>
      </c>
      <c r="L150" s="1" t="s">
        <v>62</v>
      </c>
      <c r="M150" s="17"/>
      <c r="N150" s="19">
        <f>tblKadry[[#This Row],[Wynagrodzenie_zasadnicze]]+tblKadry[[#This Row],[Dodatek_funkcyjny]]</f>
        <v>6010</v>
      </c>
      <c r="O150" s="19">
        <f>IF(OR(tblKadry[[#This Row],[Wynagrodzenie_zasadnicze]]="",tblKadry[[#This Row],[Etat]]=0),"",tblKadry[[#This Row],[Wynagrodzenie_zasadnicze]]/tblKadry[[#This Row],[Etat]])</f>
        <v>6010</v>
      </c>
      <c r="P150" s="21">
        <f>IF(AND(tblKadry[[#This Row],[Status]]="Aktywny",tblKadry[[#This Row],[Data_zatrudnienia]]&lt;=pDataRaportu),1,0)</f>
        <v>1</v>
      </c>
      <c r="Q150" s="20">
        <f>IF(tblKadry[[#This Row],[Data_zatrudnienia]]&gt;pDataRaportu,0,ROUND(YEARFRAC(tblKadry[[#This Row],[Data_zatrudnienia]],IF(tblKadry[[#This Row],[Data_zwolnienia]]="",pDataRaportu,tblKadry[[#This Row],[Data_zwolnienia]])),1))</f>
        <v>1.4</v>
      </c>
      <c r="R150" s="19">
        <f>tblKadry[[#This Row],[Brutto_mies]]*(1+pNarzut)</f>
        <v>7330.9979999999996</v>
      </c>
      <c r="S150" s="19">
        <f>_xlfn.XLOOKUP(tblKadry[[#This Row],[Grupa]],tblWidelki[Grupa],tblWidelki[Środek],"")</f>
        <v>5303</v>
      </c>
      <c r="T150" s="18">
        <f>IF(tblKadry[[#This Row],[Stawka_pełny_etat]]="","",tblKadry[[#This Row],[Stawka_pełny_etat]]/tblKadry[[#This Row],[Środek_widełek]])</f>
        <v>1.1333207618329249</v>
      </c>
      <c r="U15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Powyżej</v>
      </c>
      <c r="V15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1" spans="1:22" x14ac:dyDescent="0.3">
      <c r="A151" s="1" t="s">
        <v>208</v>
      </c>
      <c r="B151" s="1" t="s">
        <v>39</v>
      </c>
      <c r="C151" s="1" t="s">
        <v>46</v>
      </c>
      <c r="D151" s="1" t="s">
        <v>99</v>
      </c>
      <c r="E151" s="1" t="s">
        <v>26</v>
      </c>
      <c r="F151" s="1" t="s">
        <v>67</v>
      </c>
      <c r="G151" s="17">
        <v>44919</v>
      </c>
      <c r="H151" s="1" t="s">
        <v>68</v>
      </c>
      <c r="I151" s="18">
        <v>1</v>
      </c>
      <c r="J151" s="19">
        <v>5890</v>
      </c>
      <c r="K151" s="19">
        <v>0</v>
      </c>
      <c r="L151" s="1" t="s">
        <v>83</v>
      </c>
      <c r="M151" s="17">
        <v>45897</v>
      </c>
      <c r="N151" s="19">
        <f>tblKadry[[#This Row],[Wynagrodzenie_zasadnicze]]+tblKadry[[#This Row],[Dodatek_funkcyjny]]</f>
        <v>5890</v>
      </c>
      <c r="O151" s="19">
        <f>IF(OR(tblKadry[[#This Row],[Wynagrodzenie_zasadnicze]]="",tblKadry[[#This Row],[Etat]]=0),"",tblKadry[[#This Row],[Wynagrodzenie_zasadnicze]]/tblKadry[[#This Row],[Etat]])</f>
        <v>5890</v>
      </c>
      <c r="P151" s="21">
        <f>IF(AND(tblKadry[[#This Row],[Status]]="Aktywny",tblKadry[[#This Row],[Data_zatrudnienia]]&lt;=pDataRaportu),1,0)</f>
        <v>0</v>
      </c>
      <c r="Q151" s="20">
        <f>IF(tblKadry[[#This Row],[Data_zatrudnienia]]&gt;pDataRaportu,0,ROUND(YEARFRAC(tblKadry[[#This Row],[Data_zatrudnienia]],IF(tblKadry[[#This Row],[Data_zwolnienia]]="",pDataRaportu,tblKadry[[#This Row],[Data_zwolnienia]])),1))</f>
        <v>2.7</v>
      </c>
      <c r="R151" s="19">
        <f>tblKadry[[#This Row],[Brutto_mies]]*(1+pNarzut)</f>
        <v>7184.6220000000003</v>
      </c>
      <c r="S151" s="19">
        <f>_xlfn.XLOOKUP(tblKadry[[#This Row],[Grupa]],tblWidelki[Grupa],tblWidelki[Środek],"")</f>
        <v>6500</v>
      </c>
      <c r="T151" s="18">
        <f>IF(tblKadry[[#This Row],[Stawka_pełny_etat]]="","",tblKadry[[#This Row],[Stawka_pełny_etat]]/tblKadry[[#This Row],[Środek_widełek]])</f>
        <v>0.9061538461538462</v>
      </c>
      <c r="U15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2" spans="1:22" x14ac:dyDescent="0.3">
      <c r="A152" s="1" t="s">
        <v>188</v>
      </c>
      <c r="B152" s="1" t="s">
        <v>39</v>
      </c>
      <c r="C152" s="1" t="s">
        <v>46</v>
      </c>
      <c r="D152" s="1" t="s">
        <v>99</v>
      </c>
      <c r="E152" s="1" t="s">
        <v>26</v>
      </c>
      <c r="F152" s="1" t="s">
        <v>67</v>
      </c>
      <c r="G152" s="17">
        <v>44387</v>
      </c>
      <c r="H152" s="1" t="s">
        <v>61</v>
      </c>
      <c r="I152" s="18">
        <v>1</v>
      </c>
      <c r="J152" s="19">
        <v>5870</v>
      </c>
      <c r="K152" s="19">
        <v>0</v>
      </c>
      <c r="L152" s="1" t="s">
        <v>62</v>
      </c>
      <c r="M152" s="17"/>
      <c r="N152" s="19">
        <f>tblKadry[[#This Row],[Wynagrodzenie_zasadnicze]]+tblKadry[[#This Row],[Dodatek_funkcyjny]]</f>
        <v>5870</v>
      </c>
      <c r="O152" s="19">
        <f>IF(OR(tblKadry[[#This Row],[Wynagrodzenie_zasadnicze]]="",tblKadry[[#This Row],[Etat]]=0),"",tblKadry[[#This Row],[Wynagrodzenie_zasadnicze]]/tblKadry[[#This Row],[Etat]])</f>
        <v>5870</v>
      </c>
      <c r="P152" s="21">
        <f>IF(AND(tblKadry[[#This Row],[Status]]="Aktywny",tblKadry[[#This Row],[Data_zatrudnienia]]&lt;=pDataRaportu),1,0)</f>
        <v>1</v>
      </c>
      <c r="Q152" s="20">
        <f>IF(tblKadry[[#This Row],[Data_zatrudnienia]]&gt;pDataRaportu,0,ROUND(YEARFRAC(tblKadry[[#This Row],[Data_zatrudnienia]],IF(tblKadry[[#This Row],[Data_zwolnienia]]="",pDataRaportu,tblKadry[[#This Row],[Data_zwolnienia]])),1))</f>
        <v>5.2</v>
      </c>
      <c r="R152" s="19">
        <f>tblKadry[[#This Row],[Brutto_mies]]*(1+pNarzut)</f>
        <v>7160.2259999999997</v>
      </c>
      <c r="S152" s="19">
        <f>_xlfn.XLOOKUP(tblKadry[[#This Row],[Grupa]],tblWidelki[Grupa],tblWidelki[Środek],"")</f>
        <v>6500</v>
      </c>
      <c r="T152" s="18">
        <f>IF(tblKadry[[#This Row],[Stawka_pełny_etat]]="","",tblKadry[[#This Row],[Stawka_pełny_etat]]/tblKadry[[#This Row],[Środek_widełek]])</f>
        <v>0.90307692307692311</v>
      </c>
      <c r="U15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3" spans="1:22" x14ac:dyDescent="0.3">
      <c r="A153" s="1" t="s">
        <v>118</v>
      </c>
      <c r="B153" s="1" t="s">
        <v>39</v>
      </c>
      <c r="C153" s="1" t="s">
        <v>47</v>
      </c>
      <c r="D153" s="1" t="s">
        <v>73</v>
      </c>
      <c r="E153" s="1" t="s">
        <v>26</v>
      </c>
      <c r="F153" s="1" t="s">
        <v>67</v>
      </c>
      <c r="G153" s="17">
        <v>46251</v>
      </c>
      <c r="H153" s="1" t="s">
        <v>61</v>
      </c>
      <c r="I153" s="18">
        <v>1</v>
      </c>
      <c r="J153" s="19">
        <v>5680</v>
      </c>
      <c r="K153" s="19">
        <v>0</v>
      </c>
      <c r="L153" s="1" t="s">
        <v>62</v>
      </c>
      <c r="M153" s="17"/>
      <c r="N153" s="19">
        <f>tblKadry[[#This Row],[Wynagrodzenie_zasadnicze]]+tblKadry[[#This Row],[Dodatek_funkcyjny]]</f>
        <v>5680</v>
      </c>
      <c r="O153" s="19">
        <f>IF(OR(tblKadry[[#This Row],[Wynagrodzenie_zasadnicze]]="",tblKadry[[#This Row],[Etat]]=0),"",tblKadry[[#This Row],[Wynagrodzenie_zasadnicze]]/tblKadry[[#This Row],[Etat]])</f>
        <v>5680</v>
      </c>
      <c r="P153" s="21">
        <f>IF(AND(tblKadry[[#This Row],[Status]]="Aktywny",tblKadry[[#This Row],[Data_zatrudnienia]]&lt;=pDataRaportu),1,0)</f>
        <v>1</v>
      </c>
      <c r="Q153" s="20">
        <f>IF(tblKadry[[#This Row],[Data_zatrudnienia]]&gt;pDataRaportu,0,ROUND(YEARFRAC(tblKadry[[#This Row],[Data_zatrudnienia]],IF(tblKadry[[#This Row],[Data_zwolnienia]]="",pDataRaportu,tblKadry[[#This Row],[Data_zwolnienia]])),1))</f>
        <v>0.1</v>
      </c>
      <c r="R153" s="19">
        <f>tblKadry[[#This Row],[Brutto_mies]]*(1+pNarzut)</f>
        <v>6928.4639999999999</v>
      </c>
      <c r="S153" s="19">
        <f>_xlfn.XLOOKUP(tblKadry[[#This Row],[Grupa]],tblWidelki[Grupa],tblWidelki[Środek],"")</f>
        <v>6500</v>
      </c>
      <c r="T153" s="18">
        <f>IF(tblKadry[[#This Row],[Stawka_pełny_etat]]="","",tblKadry[[#This Row],[Stawka_pełny_etat]]/tblKadry[[#This Row],[Środek_widełek]])</f>
        <v>0.87384615384615383</v>
      </c>
      <c r="U15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4" spans="1:22" x14ac:dyDescent="0.3">
      <c r="A154" s="1" t="s">
        <v>58</v>
      </c>
      <c r="B154" s="1" t="s">
        <v>39</v>
      </c>
      <c r="C154" s="1" t="s">
        <v>45</v>
      </c>
      <c r="D154" s="1" t="s">
        <v>59</v>
      </c>
      <c r="E154" s="1" t="s">
        <v>24</v>
      </c>
      <c r="F154" s="1" t="s">
        <v>60</v>
      </c>
      <c r="G154" s="17">
        <v>43075</v>
      </c>
      <c r="H154" s="1" t="s">
        <v>61</v>
      </c>
      <c r="I154" s="18">
        <v>0.75</v>
      </c>
      <c r="J154" s="19">
        <v>4238</v>
      </c>
      <c r="K154" s="19">
        <v>0</v>
      </c>
      <c r="L154" s="1" t="s">
        <v>62</v>
      </c>
      <c r="M154" s="17"/>
      <c r="N154" s="19">
        <f>tblKadry[[#This Row],[Wynagrodzenie_zasadnicze]]+tblKadry[[#This Row],[Dodatek_funkcyjny]]</f>
        <v>4238</v>
      </c>
      <c r="O154" s="19">
        <f>IF(OR(tblKadry[[#This Row],[Wynagrodzenie_zasadnicze]]="",tblKadry[[#This Row],[Etat]]=0),"",tblKadry[[#This Row],[Wynagrodzenie_zasadnicze]]/tblKadry[[#This Row],[Etat]])</f>
        <v>5650.666666666667</v>
      </c>
      <c r="P154" s="21">
        <f>IF(AND(tblKadry[[#This Row],[Status]]="Aktywny",tblKadry[[#This Row],[Data_zatrudnienia]]&lt;=pDataRaportu),1,0)</f>
        <v>1</v>
      </c>
      <c r="Q154" s="20">
        <f>IF(tblKadry[[#This Row],[Data_zatrudnienia]]&gt;pDataRaportu,0,ROUND(YEARFRAC(tblKadry[[#This Row],[Data_zatrudnienia]],IF(tblKadry[[#This Row],[Data_zwolnienia]]="",pDataRaportu,tblKadry[[#This Row],[Data_zwolnienia]])),1))</f>
        <v>8.8000000000000007</v>
      </c>
      <c r="R154" s="19">
        <f>tblKadry[[#This Row],[Brutto_mies]]*(1+pNarzut)</f>
        <v>5169.5123999999996</v>
      </c>
      <c r="S154" s="19">
        <f>_xlfn.XLOOKUP(tblKadry[[#This Row],[Grupa]],tblWidelki[Grupa],tblWidelki[Środek],"")</f>
        <v>5303</v>
      </c>
      <c r="T154" s="18">
        <f>IF(tblKadry[[#This Row],[Stawka_pełny_etat]]="","",tblKadry[[#This Row],[Stawka_pełny_etat]]/tblKadry[[#This Row],[Środek_widełek]])</f>
        <v>1.0655603746307123</v>
      </c>
      <c r="U15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5" spans="1:22" x14ac:dyDescent="0.3">
      <c r="A155" s="1" t="s">
        <v>251</v>
      </c>
      <c r="B155" s="1" t="s">
        <v>38</v>
      </c>
      <c r="C155" s="1" t="s">
        <v>46</v>
      </c>
      <c r="D155" s="1" t="s">
        <v>99</v>
      </c>
      <c r="E155" s="1" t="s">
        <v>26</v>
      </c>
      <c r="F155" s="1" t="s">
        <v>60</v>
      </c>
      <c r="G155" s="17">
        <v>46146</v>
      </c>
      <c r="H155" s="1" t="s">
        <v>68</v>
      </c>
      <c r="I155" s="18">
        <v>1</v>
      </c>
      <c r="J155" s="19">
        <v>5640</v>
      </c>
      <c r="K155" s="19">
        <v>0</v>
      </c>
      <c r="L155" s="1" t="s">
        <v>62</v>
      </c>
      <c r="M155" s="17"/>
      <c r="N155" s="19">
        <f>tblKadry[[#This Row],[Wynagrodzenie_zasadnicze]]+tblKadry[[#This Row],[Dodatek_funkcyjny]]</f>
        <v>5640</v>
      </c>
      <c r="O155" s="19">
        <f>IF(OR(tblKadry[[#This Row],[Wynagrodzenie_zasadnicze]]="",tblKadry[[#This Row],[Etat]]=0),"",tblKadry[[#This Row],[Wynagrodzenie_zasadnicze]]/tblKadry[[#This Row],[Etat]])</f>
        <v>5640</v>
      </c>
      <c r="P155" s="21">
        <f>IF(AND(tblKadry[[#This Row],[Status]]="Aktywny",tblKadry[[#This Row],[Data_zatrudnienia]]&lt;=pDataRaportu),1,0)</f>
        <v>1</v>
      </c>
      <c r="Q155" s="20">
        <f>IF(tblKadry[[#This Row],[Data_zatrudnienia]]&gt;pDataRaportu,0,ROUND(YEARFRAC(tblKadry[[#This Row],[Data_zatrudnienia]],IF(tblKadry[[#This Row],[Data_zwolnienia]]="",pDataRaportu,tblKadry[[#This Row],[Data_zwolnienia]])),1))</f>
        <v>0.4</v>
      </c>
      <c r="R155" s="19">
        <f>tblKadry[[#This Row],[Brutto_mies]]*(1+pNarzut)</f>
        <v>6879.6719999999996</v>
      </c>
      <c r="S155" s="19">
        <f>_xlfn.XLOOKUP(tblKadry[[#This Row],[Grupa]],tblWidelki[Grupa],tblWidelki[Środek],"")</f>
        <v>6500</v>
      </c>
      <c r="T155" s="18">
        <f>IF(tblKadry[[#This Row],[Stawka_pełny_etat]]="","",tblKadry[[#This Row],[Stawka_pełny_etat]]/tblKadry[[#This Row],[Środek_widełek]])</f>
        <v>0.86769230769230765</v>
      </c>
      <c r="U15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6" spans="1:22" x14ac:dyDescent="0.3">
      <c r="A156" s="1" t="s">
        <v>249</v>
      </c>
      <c r="B156" s="1" t="s">
        <v>41</v>
      </c>
      <c r="C156" s="1" t="s">
        <v>44</v>
      </c>
      <c r="D156" s="1" t="s">
        <v>59</v>
      </c>
      <c r="E156" s="1" t="s">
        <v>24</v>
      </c>
      <c r="F156" s="1" t="s">
        <v>67</v>
      </c>
      <c r="G156" s="17">
        <v>41013</v>
      </c>
      <c r="H156" s="1" t="s">
        <v>61</v>
      </c>
      <c r="I156" s="18">
        <v>1</v>
      </c>
      <c r="J156" s="19">
        <v>5610</v>
      </c>
      <c r="K156" s="19">
        <v>0</v>
      </c>
      <c r="L156" s="1" t="s">
        <v>62</v>
      </c>
      <c r="M156" s="17"/>
      <c r="N156" s="19">
        <f>tblKadry[[#This Row],[Wynagrodzenie_zasadnicze]]+tblKadry[[#This Row],[Dodatek_funkcyjny]]</f>
        <v>5610</v>
      </c>
      <c r="O156" s="19">
        <f>IF(OR(tblKadry[[#This Row],[Wynagrodzenie_zasadnicze]]="",tblKadry[[#This Row],[Etat]]=0),"",tblKadry[[#This Row],[Wynagrodzenie_zasadnicze]]/tblKadry[[#This Row],[Etat]])</f>
        <v>5610</v>
      </c>
      <c r="P156" s="21">
        <f>IF(AND(tblKadry[[#This Row],[Status]]="Aktywny",tblKadry[[#This Row],[Data_zatrudnienia]]&lt;=pDataRaportu),1,0)</f>
        <v>1</v>
      </c>
      <c r="Q156" s="20">
        <f>IF(tblKadry[[#This Row],[Data_zatrudnienia]]&gt;pDataRaportu,0,ROUND(YEARFRAC(tblKadry[[#This Row],[Data_zatrudnienia]],IF(tblKadry[[#This Row],[Data_zwolnienia]]="",pDataRaportu,tblKadry[[#This Row],[Data_zwolnienia]])),1))</f>
        <v>14.5</v>
      </c>
      <c r="R156" s="19">
        <f>tblKadry[[#This Row],[Brutto_mies]]*(1+pNarzut)</f>
        <v>6843.0779999999995</v>
      </c>
      <c r="S156" s="19">
        <f>_xlfn.XLOOKUP(tblKadry[[#This Row],[Grupa]],tblWidelki[Grupa],tblWidelki[Środek],"")</f>
        <v>5303</v>
      </c>
      <c r="T156" s="18">
        <f>IF(tblKadry[[#This Row],[Stawka_pełny_etat]]="","",tblKadry[[#This Row],[Stawka_pełny_etat]]/tblKadry[[#This Row],[Środek_widełek]])</f>
        <v>1.0578917593814823</v>
      </c>
      <c r="U15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7" spans="1:22" x14ac:dyDescent="0.3">
      <c r="A157" s="1" t="s">
        <v>252</v>
      </c>
      <c r="B157" s="1" t="s">
        <v>40</v>
      </c>
      <c r="C157" s="1" t="s">
        <v>43</v>
      </c>
      <c r="D157" s="1" t="s">
        <v>59</v>
      </c>
      <c r="E157" s="1" t="s">
        <v>24</v>
      </c>
      <c r="F157" s="1" t="s">
        <v>60</v>
      </c>
      <c r="G157" s="17">
        <v>42543</v>
      </c>
      <c r="H157" s="1" t="s">
        <v>61</v>
      </c>
      <c r="I157" s="18">
        <v>1</v>
      </c>
      <c r="J157" s="19">
        <v>5590</v>
      </c>
      <c r="K157" s="19">
        <v>0</v>
      </c>
      <c r="L157" s="1" t="s">
        <v>83</v>
      </c>
      <c r="M157" s="17">
        <v>46201</v>
      </c>
      <c r="N157" s="19">
        <f>tblKadry[[#This Row],[Wynagrodzenie_zasadnicze]]+tblKadry[[#This Row],[Dodatek_funkcyjny]]</f>
        <v>5590</v>
      </c>
      <c r="O157" s="19">
        <f>IF(OR(tblKadry[[#This Row],[Wynagrodzenie_zasadnicze]]="",tblKadry[[#This Row],[Etat]]=0),"",tblKadry[[#This Row],[Wynagrodzenie_zasadnicze]]/tblKadry[[#This Row],[Etat]])</f>
        <v>5590</v>
      </c>
      <c r="P157" s="21">
        <f>IF(AND(tblKadry[[#This Row],[Status]]="Aktywny",tblKadry[[#This Row],[Data_zatrudnienia]]&lt;=pDataRaportu),1,0)</f>
        <v>0</v>
      </c>
      <c r="Q157" s="20">
        <f>IF(tblKadry[[#This Row],[Data_zatrudnienia]]&gt;pDataRaportu,0,ROUND(YEARFRAC(tblKadry[[#This Row],[Data_zatrudnienia]],IF(tblKadry[[#This Row],[Data_zwolnienia]]="",pDataRaportu,tblKadry[[#This Row],[Data_zwolnienia]])),1))</f>
        <v>10</v>
      </c>
      <c r="R157" s="19">
        <f>tblKadry[[#This Row],[Brutto_mies]]*(1+pNarzut)</f>
        <v>6818.6819999999998</v>
      </c>
      <c r="S157" s="19">
        <f>_xlfn.XLOOKUP(tblKadry[[#This Row],[Grupa]],tblWidelki[Grupa],tblWidelki[Środek],"")</f>
        <v>5303</v>
      </c>
      <c r="T157" s="18">
        <f>IF(tblKadry[[#This Row],[Stawka_pełny_etat]]="","",tblKadry[[#This Row],[Stawka_pełny_etat]]/tblKadry[[#This Row],[Środek_widełek]])</f>
        <v>1.05412030925891</v>
      </c>
      <c r="U15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8" spans="1:22" x14ac:dyDescent="0.3">
      <c r="A158" s="1" t="s">
        <v>209</v>
      </c>
      <c r="B158" s="1" t="s">
        <v>38</v>
      </c>
      <c r="C158" s="1" t="s">
        <v>44</v>
      </c>
      <c r="D158" s="1" t="s">
        <v>59</v>
      </c>
      <c r="E158" s="1" t="s">
        <v>24</v>
      </c>
      <c r="F158" s="1" t="s">
        <v>60</v>
      </c>
      <c r="G158" s="17">
        <v>41335</v>
      </c>
      <c r="H158" s="1" t="s">
        <v>61</v>
      </c>
      <c r="I158" s="18">
        <v>1</v>
      </c>
      <c r="J158" s="19">
        <v>5550</v>
      </c>
      <c r="K158" s="19">
        <v>0</v>
      </c>
      <c r="L158" s="1" t="s">
        <v>62</v>
      </c>
      <c r="M158" s="17"/>
      <c r="N158" s="19">
        <f>tblKadry[[#This Row],[Wynagrodzenie_zasadnicze]]+tblKadry[[#This Row],[Dodatek_funkcyjny]]</f>
        <v>5550</v>
      </c>
      <c r="O158" s="19">
        <f>IF(OR(tblKadry[[#This Row],[Wynagrodzenie_zasadnicze]]="",tblKadry[[#This Row],[Etat]]=0),"",tblKadry[[#This Row],[Wynagrodzenie_zasadnicze]]/tblKadry[[#This Row],[Etat]])</f>
        <v>5550</v>
      </c>
      <c r="P158" s="21">
        <f>IF(AND(tblKadry[[#This Row],[Status]]="Aktywny",tblKadry[[#This Row],[Data_zatrudnienia]]&lt;=pDataRaportu),1,0)</f>
        <v>1</v>
      </c>
      <c r="Q158" s="20">
        <f>IF(tblKadry[[#This Row],[Data_zatrudnienia]]&gt;pDataRaportu,0,ROUND(YEARFRAC(tblKadry[[#This Row],[Data_zatrudnienia]],IF(tblKadry[[#This Row],[Data_zwolnienia]]="",pDataRaportu,tblKadry[[#This Row],[Data_zwolnienia]])),1))</f>
        <v>13.6</v>
      </c>
      <c r="R158" s="19">
        <f>tblKadry[[#This Row],[Brutto_mies]]*(1+pNarzut)</f>
        <v>6769.89</v>
      </c>
      <c r="S158" s="19">
        <f>_xlfn.XLOOKUP(tblKadry[[#This Row],[Grupa]],tblWidelki[Grupa],tblWidelki[Środek],"")</f>
        <v>5303</v>
      </c>
      <c r="T158" s="18">
        <f>IF(tblKadry[[#This Row],[Stawka_pełny_etat]]="","",tblKadry[[#This Row],[Stawka_pełny_etat]]/tblKadry[[#This Row],[Środek_widełek]])</f>
        <v>1.0465774090137658</v>
      </c>
      <c r="U15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59" spans="1:22" x14ac:dyDescent="0.3">
      <c r="A159" s="1" t="s">
        <v>256</v>
      </c>
      <c r="B159" s="1" t="s">
        <v>38</v>
      </c>
      <c r="C159" s="1" t="s">
        <v>44</v>
      </c>
      <c r="D159" s="1" t="s">
        <v>59</v>
      </c>
      <c r="E159" s="1" t="s">
        <v>24</v>
      </c>
      <c r="F159" s="1" t="s">
        <v>67</v>
      </c>
      <c r="G159" s="17">
        <v>42100</v>
      </c>
      <c r="H159" s="1" t="s">
        <v>61</v>
      </c>
      <c r="I159" s="18">
        <v>1</v>
      </c>
      <c r="J159" s="19">
        <v>5490</v>
      </c>
      <c r="K159" s="19">
        <v>0</v>
      </c>
      <c r="L159" s="1" t="s">
        <v>62</v>
      </c>
      <c r="M159" s="17"/>
      <c r="N159" s="19">
        <f>tblKadry[[#This Row],[Wynagrodzenie_zasadnicze]]+tblKadry[[#This Row],[Dodatek_funkcyjny]]</f>
        <v>5490</v>
      </c>
      <c r="O159" s="19">
        <f>IF(OR(tblKadry[[#This Row],[Wynagrodzenie_zasadnicze]]="",tblKadry[[#This Row],[Etat]]=0),"",tblKadry[[#This Row],[Wynagrodzenie_zasadnicze]]/tblKadry[[#This Row],[Etat]])</f>
        <v>5490</v>
      </c>
      <c r="P159" s="21">
        <f>IF(AND(tblKadry[[#This Row],[Status]]="Aktywny",tblKadry[[#This Row],[Data_zatrudnienia]]&lt;=pDataRaportu),1,0)</f>
        <v>1</v>
      </c>
      <c r="Q159" s="20">
        <f>IF(tblKadry[[#This Row],[Data_zatrudnienia]]&gt;pDataRaportu,0,ROUND(YEARFRAC(tblKadry[[#This Row],[Data_zatrudnienia]],IF(tblKadry[[#This Row],[Data_zwolnienia]]="",pDataRaportu,tblKadry[[#This Row],[Data_zwolnienia]])),1))</f>
        <v>11.5</v>
      </c>
      <c r="R159" s="19">
        <f>tblKadry[[#This Row],[Brutto_mies]]*(1+pNarzut)</f>
        <v>6696.7020000000002</v>
      </c>
      <c r="S159" s="19">
        <f>_xlfn.XLOOKUP(tblKadry[[#This Row],[Grupa]],tblWidelki[Grupa],tblWidelki[Środek],"")</f>
        <v>5303</v>
      </c>
      <c r="T159" s="18">
        <f>IF(tblKadry[[#This Row],[Stawka_pełny_etat]]="","",tblKadry[[#This Row],[Stawka_pełny_etat]]/tblKadry[[#This Row],[Środek_widełek]])</f>
        <v>1.0352630586460494</v>
      </c>
      <c r="U15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5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0" spans="1:22" x14ac:dyDescent="0.3">
      <c r="A160" s="1" t="s">
        <v>128</v>
      </c>
      <c r="B160" s="1" t="s">
        <v>38</v>
      </c>
      <c r="C160" s="1" t="s">
        <v>45</v>
      </c>
      <c r="D160" s="1" t="s">
        <v>59</v>
      </c>
      <c r="E160" s="1" t="s">
        <v>24</v>
      </c>
      <c r="F160" s="1" t="s">
        <v>67</v>
      </c>
      <c r="G160" s="17">
        <v>41380</v>
      </c>
      <c r="H160" s="1" t="s">
        <v>61</v>
      </c>
      <c r="I160" s="18">
        <v>1</v>
      </c>
      <c r="J160" s="19">
        <v>5420</v>
      </c>
      <c r="K160" s="19">
        <v>0</v>
      </c>
      <c r="L160" s="1" t="s">
        <v>62</v>
      </c>
      <c r="M160" s="17"/>
      <c r="N160" s="19">
        <f>tblKadry[[#This Row],[Wynagrodzenie_zasadnicze]]+tblKadry[[#This Row],[Dodatek_funkcyjny]]</f>
        <v>5420</v>
      </c>
      <c r="O160" s="19">
        <f>IF(OR(tblKadry[[#This Row],[Wynagrodzenie_zasadnicze]]="",tblKadry[[#This Row],[Etat]]=0),"",tblKadry[[#This Row],[Wynagrodzenie_zasadnicze]]/tblKadry[[#This Row],[Etat]])</f>
        <v>5420</v>
      </c>
      <c r="P160" s="21">
        <f>IF(AND(tblKadry[[#This Row],[Status]]="Aktywny",tblKadry[[#This Row],[Data_zatrudnienia]]&lt;=pDataRaportu),1,0)</f>
        <v>1</v>
      </c>
      <c r="Q160" s="20">
        <f>IF(tblKadry[[#This Row],[Data_zatrudnienia]]&gt;pDataRaportu,0,ROUND(YEARFRAC(tblKadry[[#This Row],[Data_zatrudnienia]],IF(tblKadry[[#This Row],[Data_zwolnienia]]="",pDataRaportu,tblKadry[[#This Row],[Data_zwolnienia]])),1))</f>
        <v>13.5</v>
      </c>
      <c r="R160" s="19">
        <f>tblKadry[[#This Row],[Brutto_mies]]*(1+pNarzut)</f>
        <v>6611.3159999999998</v>
      </c>
      <c r="S160" s="19">
        <f>_xlfn.XLOOKUP(tblKadry[[#This Row],[Grupa]],tblWidelki[Grupa],tblWidelki[Środek],"")</f>
        <v>5303</v>
      </c>
      <c r="T160" s="18">
        <f>IF(tblKadry[[#This Row],[Stawka_pełny_etat]]="","",tblKadry[[#This Row],[Stawka_pełny_etat]]/tblKadry[[#This Row],[Środek_widełek]])</f>
        <v>1.0220629832170469</v>
      </c>
      <c r="U16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1" spans="1:22" x14ac:dyDescent="0.3">
      <c r="A161" s="1" t="s">
        <v>130</v>
      </c>
      <c r="B161" s="1" t="s">
        <v>41</v>
      </c>
      <c r="C161" s="1" t="s">
        <v>43</v>
      </c>
      <c r="D161" s="1" t="s">
        <v>59</v>
      </c>
      <c r="E161" s="1" t="s">
        <v>24</v>
      </c>
      <c r="F161" s="1" t="s">
        <v>67</v>
      </c>
      <c r="G161" s="17">
        <v>42314</v>
      </c>
      <c r="H161" s="1" t="s">
        <v>61</v>
      </c>
      <c r="I161" s="18">
        <v>1</v>
      </c>
      <c r="J161" s="19">
        <v>5410</v>
      </c>
      <c r="K161" s="19">
        <v>0</v>
      </c>
      <c r="L161" s="1" t="s">
        <v>83</v>
      </c>
      <c r="M161" s="17">
        <v>45958</v>
      </c>
      <c r="N161" s="19">
        <f>tblKadry[[#This Row],[Wynagrodzenie_zasadnicze]]+tblKadry[[#This Row],[Dodatek_funkcyjny]]</f>
        <v>5410</v>
      </c>
      <c r="O161" s="19">
        <f>IF(OR(tblKadry[[#This Row],[Wynagrodzenie_zasadnicze]]="",tblKadry[[#This Row],[Etat]]=0),"",tblKadry[[#This Row],[Wynagrodzenie_zasadnicze]]/tblKadry[[#This Row],[Etat]])</f>
        <v>5410</v>
      </c>
      <c r="P161" s="21">
        <f>IF(AND(tblKadry[[#This Row],[Status]]="Aktywny",tblKadry[[#This Row],[Data_zatrudnienia]]&lt;=pDataRaportu),1,0)</f>
        <v>0</v>
      </c>
      <c r="Q161" s="20">
        <f>IF(tblKadry[[#This Row],[Data_zatrudnienia]]&gt;pDataRaportu,0,ROUND(YEARFRAC(tblKadry[[#This Row],[Data_zatrudnienia]],IF(tblKadry[[#This Row],[Data_zwolnienia]]="",pDataRaportu,tblKadry[[#This Row],[Data_zwolnienia]])),1))</f>
        <v>10</v>
      </c>
      <c r="R161" s="19">
        <f>tblKadry[[#This Row],[Brutto_mies]]*(1+pNarzut)</f>
        <v>6599.1180000000004</v>
      </c>
      <c r="S161" s="19">
        <f>_xlfn.XLOOKUP(tblKadry[[#This Row],[Grupa]],tblWidelki[Grupa],tblWidelki[Środek],"")</f>
        <v>5303</v>
      </c>
      <c r="T161" s="18">
        <f>IF(tblKadry[[#This Row],[Stawka_pełny_etat]]="","",tblKadry[[#This Row],[Stawka_pełny_etat]]/tblKadry[[#This Row],[Środek_widełek]])</f>
        <v>1.0201772581557609</v>
      </c>
      <c r="U16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Duplikat ID</v>
      </c>
    </row>
    <row r="162" spans="1:22" x14ac:dyDescent="0.3">
      <c r="A162" s="1" t="s">
        <v>130</v>
      </c>
      <c r="B162" s="1" t="s">
        <v>41</v>
      </c>
      <c r="C162" s="1" t="s">
        <v>43</v>
      </c>
      <c r="D162" s="1" t="s">
        <v>59</v>
      </c>
      <c r="E162" s="1" t="s">
        <v>24</v>
      </c>
      <c r="F162" s="1" t="s">
        <v>67</v>
      </c>
      <c r="G162" s="17">
        <v>42314</v>
      </c>
      <c r="H162" s="1" t="s">
        <v>61</v>
      </c>
      <c r="I162" s="18">
        <v>1</v>
      </c>
      <c r="J162" s="19">
        <v>5410</v>
      </c>
      <c r="K162" s="19">
        <v>0</v>
      </c>
      <c r="L162" s="1" t="s">
        <v>83</v>
      </c>
      <c r="M162" s="17">
        <v>45958</v>
      </c>
      <c r="N162" s="19">
        <f>tblKadry[[#This Row],[Wynagrodzenie_zasadnicze]]+tblKadry[[#This Row],[Dodatek_funkcyjny]]</f>
        <v>5410</v>
      </c>
      <c r="O162" s="19">
        <f>IF(OR(tblKadry[[#This Row],[Wynagrodzenie_zasadnicze]]="",tblKadry[[#This Row],[Etat]]=0),"",tblKadry[[#This Row],[Wynagrodzenie_zasadnicze]]/tblKadry[[#This Row],[Etat]])</f>
        <v>5410</v>
      </c>
      <c r="P162" s="21">
        <f>IF(AND(tblKadry[[#This Row],[Status]]="Aktywny",tblKadry[[#This Row],[Data_zatrudnienia]]&lt;=pDataRaportu),1,0)</f>
        <v>0</v>
      </c>
      <c r="Q162" s="20">
        <f>IF(tblKadry[[#This Row],[Data_zatrudnienia]]&gt;pDataRaportu,0,ROUND(YEARFRAC(tblKadry[[#This Row],[Data_zatrudnienia]],IF(tblKadry[[#This Row],[Data_zwolnienia]]="",pDataRaportu,tblKadry[[#This Row],[Data_zwolnienia]])),1))</f>
        <v>10</v>
      </c>
      <c r="R162" s="19">
        <f>tblKadry[[#This Row],[Brutto_mies]]*(1+pNarzut)</f>
        <v>6599.1180000000004</v>
      </c>
      <c r="S162" s="19">
        <f>_xlfn.XLOOKUP(tblKadry[[#This Row],[Grupa]],tblWidelki[Grupa],tblWidelki[Środek],"")</f>
        <v>5303</v>
      </c>
      <c r="T162" s="18">
        <f>IF(tblKadry[[#This Row],[Stawka_pełny_etat]]="","",tblKadry[[#This Row],[Stawka_pełny_etat]]/tblKadry[[#This Row],[Środek_widełek]])</f>
        <v>1.0201772581557609</v>
      </c>
      <c r="U16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Duplikat ID</v>
      </c>
    </row>
    <row r="163" spans="1:22" x14ac:dyDescent="0.3">
      <c r="A163" s="1" t="s">
        <v>86</v>
      </c>
      <c r="B163" s="1" t="s">
        <v>38</v>
      </c>
      <c r="C163" s="1" t="s">
        <v>43</v>
      </c>
      <c r="D163" s="1" t="s">
        <v>59</v>
      </c>
      <c r="E163" s="1" t="s">
        <v>24</v>
      </c>
      <c r="F163" s="1" t="s">
        <v>67</v>
      </c>
      <c r="G163" s="17">
        <v>41313</v>
      </c>
      <c r="H163" s="1" t="s">
        <v>61</v>
      </c>
      <c r="I163" s="18">
        <v>1</v>
      </c>
      <c r="J163" s="19">
        <v>5380</v>
      </c>
      <c r="K163" s="19">
        <v>0</v>
      </c>
      <c r="L163" s="1" t="s">
        <v>62</v>
      </c>
      <c r="M163" s="17"/>
      <c r="N163" s="19">
        <f>tblKadry[[#This Row],[Wynagrodzenie_zasadnicze]]+tblKadry[[#This Row],[Dodatek_funkcyjny]]</f>
        <v>5380</v>
      </c>
      <c r="O163" s="19">
        <f>IF(OR(tblKadry[[#This Row],[Wynagrodzenie_zasadnicze]]="",tblKadry[[#This Row],[Etat]]=0),"",tblKadry[[#This Row],[Wynagrodzenie_zasadnicze]]/tblKadry[[#This Row],[Etat]])</f>
        <v>5380</v>
      </c>
      <c r="P163" s="21">
        <f>IF(AND(tblKadry[[#This Row],[Status]]="Aktywny",tblKadry[[#This Row],[Data_zatrudnienia]]&lt;=pDataRaportu),1,0)</f>
        <v>1</v>
      </c>
      <c r="Q163" s="20">
        <f>IF(tblKadry[[#This Row],[Data_zatrudnienia]]&gt;pDataRaportu,0,ROUND(YEARFRAC(tblKadry[[#This Row],[Data_zatrudnienia]],IF(tblKadry[[#This Row],[Data_zwolnienia]]="",pDataRaportu,tblKadry[[#This Row],[Data_zwolnienia]])),1))</f>
        <v>13.6</v>
      </c>
      <c r="R163" s="19">
        <f>tblKadry[[#This Row],[Brutto_mies]]*(1+pNarzut)</f>
        <v>6562.5240000000003</v>
      </c>
      <c r="S163" s="19">
        <f>_xlfn.XLOOKUP(tblKadry[[#This Row],[Grupa]],tblWidelki[Grupa],tblWidelki[Środek],"")</f>
        <v>5303</v>
      </c>
      <c r="T163" s="18">
        <f>IF(tblKadry[[#This Row],[Stawka_pełny_etat]]="","",tblKadry[[#This Row],[Stawka_pełny_etat]]/tblKadry[[#This Row],[Środek_widełek]])</f>
        <v>1.0145200829719028</v>
      </c>
      <c r="U16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4" spans="1:22" x14ac:dyDescent="0.3">
      <c r="A164" s="1" t="s">
        <v>178</v>
      </c>
      <c r="B164" s="1" t="s">
        <v>38</v>
      </c>
      <c r="C164" s="1" t="s">
        <v>47</v>
      </c>
      <c r="D164" s="1" t="s">
        <v>80</v>
      </c>
      <c r="E164" s="1" t="s">
        <v>24</v>
      </c>
      <c r="F164" s="1" t="s">
        <v>67</v>
      </c>
      <c r="G164" s="17">
        <v>42911</v>
      </c>
      <c r="H164" s="1" t="s">
        <v>61</v>
      </c>
      <c r="I164" s="18">
        <v>1</v>
      </c>
      <c r="J164" s="19">
        <v>5370</v>
      </c>
      <c r="K164" s="19">
        <v>0</v>
      </c>
      <c r="L164" s="1" t="s">
        <v>62</v>
      </c>
      <c r="M164" s="17"/>
      <c r="N164" s="19">
        <f>tblKadry[[#This Row],[Wynagrodzenie_zasadnicze]]+tblKadry[[#This Row],[Dodatek_funkcyjny]]</f>
        <v>5370</v>
      </c>
      <c r="O164" s="19">
        <f>IF(OR(tblKadry[[#This Row],[Wynagrodzenie_zasadnicze]]="",tblKadry[[#This Row],[Etat]]=0),"",tblKadry[[#This Row],[Wynagrodzenie_zasadnicze]]/tblKadry[[#This Row],[Etat]])</f>
        <v>5370</v>
      </c>
      <c r="P164" s="21">
        <f>IF(AND(tblKadry[[#This Row],[Status]]="Aktywny",tblKadry[[#This Row],[Data_zatrudnienia]]&lt;=pDataRaportu),1,0)</f>
        <v>1</v>
      </c>
      <c r="Q164" s="20">
        <f>IF(tblKadry[[#This Row],[Data_zatrudnienia]]&gt;pDataRaportu,0,ROUND(YEARFRAC(tblKadry[[#This Row],[Data_zatrudnienia]],IF(tblKadry[[#This Row],[Data_zwolnienia]]="",pDataRaportu,tblKadry[[#This Row],[Data_zwolnienia]])),1))</f>
        <v>9.3000000000000007</v>
      </c>
      <c r="R164" s="19">
        <f>tblKadry[[#This Row],[Brutto_mies]]*(1+pNarzut)</f>
        <v>6550.326</v>
      </c>
      <c r="S164" s="19">
        <f>_xlfn.XLOOKUP(tblKadry[[#This Row],[Grupa]],tblWidelki[Grupa],tblWidelki[Środek],"")</f>
        <v>5303</v>
      </c>
      <c r="T164" s="18">
        <f>IF(tblKadry[[#This Row],[Stawka_pełny_etat]]="","",tblKadry[[#This Row],[Stawka_pełny_etat]]/tblKadry[[#This Row],[Środek_widełek]])</f>
        <v>1.0126343579106167</v>
      </c>
      <c r="U16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5" spans="1:22" x14ac:dyDescent="0.3">
      <c r="A165" s="1" t="s">
        <v>126</v>
      </c>
      <c r="B165" s="1" t="s">
        <v>38</v>
      </c>
      <c r="C165" s="1" t="s">
        <v>47</v>
      </c>
      <c r="D165" s="1" t="s">
        <v>80</v>
      </c>
      <c r="E165" s="1" t="s">
        <v>24</v>
      </c>
      <c r="F165" s="1" t="s">
        <v>67</v>
      </c>
      <c r="G165" s="17">
        <v>41945</v>
      </c>
      <c r="H165" s="1" t="s">
        <v>68</v>
      </c>
      <c r="I165" s="18">
        <v>1</v>
      </c>
      <c r="J165" s="19">
        <v>5320</v>
      </c>
      <c r="K165" s="19">
        <v>0</v>
      </c>
      <c r="L165" s="1" t="s">
        <v>62</v>
      </c>
      <c r="M165" s="17"/>
      <c r="N165" s="19">
        <f>tblKadry[[#This Row],[Wynagrodzenie_zasadnicze]]+tblKadry[[#This Row],[Dodatek_funkcyjny]]</f>
        <v>5320</v>
      </c>
      <c r="O165" s="19">
        <f>IF(OR(tblKadry[[#This Row],[Wynagrodzenie_zasadnicze]]="",tblKadry[[#This Row],[Etat]]=0),"",tblKadry[[#This Row],[Wynagrodzenie_zasadnicze]]/tblKadry[[#This Row],[Etat]])</f>
        <v>5320</v>
      </c>
      <c r="P165" s="21">
        <f>IF(AND(tblKadry[[#This Row],[Status]]="Aktywny",tblKadry[[#This Row],[Data_zatrudnienia]]&lt;=pDataRaportu),1,0)</f>
        <v>1</v>
      </c>
      <c r="Q165" s="20">
        <f>IF(tblKadry[[#This Row],[Data_zatrudnienia]]&gt;pDataRaportu,0,ROUND(YEARFRAC(tblKadry[[#This Row],[Data_zatrudnienia]],IF(tblKadry[[#This Row],[Data_zwolnienia]]="",pDataRaportu,tblKadry[[#This Row],[Data_zwolnienia]])),1))</f>
        <v>11.9</v>
      </c>
      <c r="R165" s="19">
        <f>tblKadry[[#This Row],[Brutto_mies]]*(1+pNarzut)</f>
        <v>6489.3360000000002</v>
      </c>
      <c r="S165" s="19">
        <f>_xlfn.XLOOKUP(tblKadry[[#This Row],[Grupa]],tblWidelki[Grupa],tblWidelki[Środek],"")</f>
        <v>5303</v>
      </c>
      <c r="T165" s="18">
        <f>IF(tblKadry[[#This Row],[Stawka_pełny_etat]]="","",tblKadry[[#This Row],[Stawka_pełny_etat]]/tblKadry[[#This Row],[Środek_widełek]])</f>
        <v>1.0032057326041863</v>
      </c>
      <c r="U16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Umowa terminowa &gt; 33 mies. (art. 25¹ KP)</v>
      </c>
    </row>
    <row r="166" spans="1:22" x14ac:dyDescent="0.3">
      <c r="A166" s="1" t="s">
        <v>162</v>
      </c>
      <c r="B166" s="1" t="s">
        <v>41</v>
      </c>
      <c r="C166" s="1" t="s">
        <v>43</v>
      </c>
      <c r="D166" s="1" t="s">
        <v>59</v>
      </c>
      <c r="E166" s="1" t="s">
        <v>24</v>
      </c>
      <c r="F166" s="1" t="s">
        <v>67</v>
      </c>
      <c r="G166" s="17">
        <v>42610</v>
      </c>
      <c r="H166" s="1" t="s">
        <v>61</v>
      </c>
      <c r="I166" s="18">
        <v>1</v>
      </c>
      <c r="J166" s="19">
        <v>5300</v>
      </c>
      <c r="K166" s="19">
        <v>0</v>
      </c>
      <c r="L166" s="1" t="s">
        <v>83</v>
      </c>
      <c r="M166" s="17">
        <v>46140</v>
      </c>
      <c r="N166" s="19">
        <f>tblKadry[[#This Row],[Wynagrodzenie_zasadnicze]]+tblKadry[[#This Row],[Dodatek_funkcyjny]]</f>
        <v>5300</v>
      </c>
      <c r="O166" s="19">
        <f>IF(OR(tblKadry[[#This Row],[Wynagrodzenie_zasadnicze]]="",tblKadry[[#This Row],[Etat]]=0),"",tblKadry[[#This Row],[Wynagrodzenie_zasadnicze]]/tblKadry[[#This Row],[Etat]])</f>
        <v>5300</v>
      </c>
      <c r="P166" s="21">
        <f>IF(AND(tblKadry[[#This Row],[Status]]="Aktywny",tblKadry[[#This Row],[Data_zatrudnienia]]&lt;=pDataRaportu),1,0)</f>
        <v>0</v>
      </c>
      <c r="Q166" s="20">
        <f>IF(tblKadry[[#This Row],[Data_zatrudnienia]]&gt;pDataRaportu,0,ROUND(YEARFRAC(tblKadry[[#This Row],[Data_zatrudnienia]],IF(tblKadry[[#This Row],[Data_zwolnienia]]="",pDataRaportu,tblKadry[[#This Row],[Data_zwolnienia]])),1))</f>
        <v>9.6999999999999993</v>
      </c>
      <c r="R166" s="19">
        <f>tblKadry[[#This Row],[Brutto_mies]]*(1+pNarzut)</f>
        <v>6464.94</v>
      </c>
      <c r="S166" s="19">
        <f>_xlfn.XLOOKUP(tblKadry[[#This Row],[Grupa]],tblWidelki[Grupa],tblWidelki[Środek],"")</f>
        <v>5303</v>
      </c>
      <c r="T166" s="18">
        <f>IF(tblKadry[[#This Row],[Stawka_pełny_etat]]="","",tblKadry[[#This Row],[Stawka_pełny_etat]]/tblKadry[[#This Row],[Środek_widełek]])</f>
        <v>0.99943428248161414</v>
      </c>
      <c r="U16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7" spans="1:22" x14ac:dyDescent="0.3">
      <c r="A167" s="1" t="s">
        <v>164</v>
      </c>
      <c r="B167" s="1" t="s">
        <v>38</v>
      </c>
      <c r="C167" s="1" t="s">
        <v>43</v>
      </c>
      <c r="D167" s="1" t="s">
        <v>59</v>
      </c>
      <c r="E167" s="1" t="s">
        <v>24</v>
      </c>
      <c r="F167" s="1" t="s">
        <v>67</v>
      </c>
      <c r="G167" s="17">
        <v>42840</v>
      </c>
      <c r="H167" s="1" t="s">
        <v>61</v>
      </c>
      <c r="I167" s="18">
        <v>1</v>
      </c>
      <c r="J167" s="19">
        <v>5290</v>
      </c>
      <c r="K167" s="19">
        <v>0</v>
      </c>
      <c r="L167" s="1" t="s">
        <v>62</v>
      </c>
      <c r="M167" s="17"/>
      <c r="N167" s="19">
        <f>tblKadry[[#This Row],[Wynagrodzenie_zasadnicze]]+tblKadry[[#This Row],[Dodatek_funkcyjny]]</f>
        <v>5290</v>
      </c>
      <c r="O167" s="19">
        <f>IF(OR(tblKadry[[#This Row],[Wynagrodzenie_zasadnicze]]="",tblKadry[[#This Row],[Etat]]=0),"",tblKadry[[#This Row],[Wynagrodzenie_zasadnicze]]/tblKadry[[#This Row],[Etat]])</f>
        <v>5290</v>
      </c>
      <c r="P167" s="21">
        <f>IF(AND(tblKadry[[#This Row],[Status]]="Aktywny",tblKadry[[#This Row],[Data_zatrudnienia]]&lt;=pDataRaportu),1,0)</f>
        <v>1</v>
      </c>
      <c r="Q167" s="20">
        <f>IF(tblKadry[[#This Row],[Data_zatrudnienia]]&gt;pDataRaportu,0,ROUND(YEARFRAC(tblKadry[[#This Row],[Data_zatrudnienia]],IF(tblKadry[[#This Row],[Data_zwolnienia]]="",pDataRaportu,tblKadry[[#This Row],[Data_zwolnienia]])),1))</f>
        <v>9.5</v>
      </c>
      <c r="R167" s="19">
        <f>tblKadry[[#This Row],[Brutto_mies]]*(1+pNarzut)</f>
        <v>6452.7420000000002</v>
      </c>
      <c r="S167" s="19">
        <f>_xlfn.XLOOKUP(tblKadry[[#This Row],[Grupa]],tblWidelki[Grupa],tblWidelki[Środek],"")</f>
        <v>5303</v>
      </c>
      <c r="T167" s="18">
        <f>IF(tblKadry[[#This Row],[Stawka_pełny_etat]]="","",tblKadry[[#This Row],[Stawka_pełny_etat]]/tblKadry[[#This Row],[Środek_widełek]])</f>
        <v>0.99754855742032811</v>
      </c>
      <c r="U16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8" spans="1:22" x14ac:dyDescent="0.3">
      <c r="A168" s="1" t="s">
        <v>219</v>
      </c>
      <c r="B168" s="1" t="s">
        <v>39</v>
      </c>
      <c r="C168" s="1" t="s">
        <v>43</v>
      </c>
      <c r="D168" s="1" t="s">
        <v>59</v>
      </c>
      <c r="E168" s="1" t="s">
        <v>24</v>
      </c>
      <c r="F168" s="1" t="s">
        <v>67</v>
      </c>
      <c r="G168" s="17">
        <v>44813</v>
      </c>
      <c r="H168" s="1" t="s">
        <v>61</v>
      </c>
      <c r="I168" s="18">
        <v>1</v>
      </c>
      <c r="J168" s="19">
        <v>5270</v>
      </c>
      <c r="K168" s="19">
        <v>0</v>
      </c>
      <c r="L168" s="1" t="s">
        <v>62</v>
      </c>
      <c r="M168" s="17"/>
      <c r="N168" s="19">
        <f>tblKadry[[#This Row],[Wynagrodzenie_zasadnicze]]+tblKadry[[#This Row],[Dodatek_funkcyjny]]</f>
        <v>5270</v>
      </c>
      <c r="O168" s="19">
        <f>IF(OR(tblKadry[[#This Row],[Wynagrodzenie_zasadnicze]]="",tblKadry[[#This Row],[Etat]]=0),"",tblKadry[[#This Row],[Wynagrodzenie_zasadnicze]]/tblKadry[[#This Row],[Etat]])</f>
        <v>5270</v>
      </c>
      <c r="P168" s="21">
        <f>IF(AND(tblKadry[[#This Row],[Status]]="Aktywny",tblKadry[[#This Row],[Data_zatrudnienia]]&lt;=pDataRaportu),1,0)</f>
        <v>1</v>
      </c>
      <c r="Q168" s="20">
        <f>IF(tblKadry[[#This Row],[Data_zatrudnienia]]&gt;pDataRaportu,0,ROUND(YEARFRAC(tblKadry[[#This Row],[Data_zatrudnienia]],IF(tblKadry[[#This Row],[Data_zwolnienia]]="",pDataRaportu,tblKadry[[#This Row],[Data_zwolnienia]])),1))</f>
        <v>4.0999999999999996</v>
      </c>
      <c r="R168" s="19">
        <f>tblKadry[[#This Row],[Brutto_mies]]*(1+pNarzut)</f>
        <v>6428.3459999999995</v>
      </c>
      <c r="S168" s="19">
        <f>_xlfn.XLOOKUP(tblKadry[[#This Row],[Grupa]],tblWidelki[Grupa],tblWidelki[Środek],"")</f>
        <v>5303</v>
      </c>
      <c r="T168" s="18">
        <f>IF(tblKadry[[#This Row],[Stawka_pełny_etat]]="","",tblKadry[[#This Row],[Stawka_pełny_etat]]/tblKadry[[#This Row],[Środek_widełek]])</f>
        <v>0.99377710729775603</v>
      </c>
      <c r="U16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69" spans="1:22" x14ac:dyDescent="0.3">
      <c r="A169" s="1" t="s">
        <v>119</v>
      </c>
      <c r="B169" s="1" t="s">
        <v>40</v>
      </c>
      <c r="C169" s="1" t="s">
        <v>47</v>
      </c>
      <c r="D169" s="1" t="s">
        <v>80</v>
      </c>
      <c r="E169" s="1" t="s">
        <v>24</v>
      </c>
      <c r="F169" s="1" t="s">
        <v>67</v>
      </c>
      <c r="G169" s="17">
        <v>41155</v>
      </c>
      <c r="H169" s="1" t="s">
        <v>61</v>
      </c>
      <c r="I169" s="18">
        <v>1</v>
      </c>
      <c r="J169" s="19">
        <v>5240</v>
      </c>
      <c r="K169" s="19">
        <v>0</v>
      </c>
      <c r="L169" s="1" t="s">
        <v>62</v>
      </c>
      <c r="M169" s="17"/>
      <c r="N169" s="19">
        <f>tblKadry[[#This Row],[Wynagrodzenie_zasadnicze]]+tblKadry[[#This Row],[Dodatek_funkcyjny]]</f>
        <v>5240</v>
      </c>
      <c r="O169" s="19">
        <f>IF(OR(tblKadry[[#This Row],[Wynagrodzenie_zasadnicze]]="",tblKadry[[#This Row],[Etat]]=0),"",tblKadry[[#This Row],[Wynagrodzenie_zasadnicze]]/tblKadry[[#This Row],[Etat]])</f>
        <v>5240</v>
      </c>
      <c r="P169" s="21">
        <f>IF(AND(tblKadry[[#This Row],[Status]]="Aktywny",tblKadry[[#This Row],[Data_zatrudnienia]]&lt;=pDataRaportu),1,0)</f>
        <v>1</v>
      </c>
      <c r="Q169" s="20">
        <f>IF(tblKadry[[#This Row],[Data_zatrudnienia]]&gt;pDataRaportu,0,ROUND(YEARFRAC(tblKadry[[#This Row],[Data_zatrudnienia]],IF(tblKadry[[#This Row],[Data_zwolnienia]]="",pDataRaportu,tblKadry[[#This Row],[Data_zwolnienia]])),1))</f>
        <v>14.1</v>
      </c>
      <c r="R169" s="19">
        <f>tblKadry[[#This Row],[Brutto_mies]]*(1+pNarzut)</f>
        <v>6391.7520000000004</v>
      </c>
      <c r="S169" s="19">
        <f>_xlfn.XLOOKUP(tblKadry[[#This Row],[Grupa]],tblWidelki[Grupa],tblWidelki[Środek],"")</f>
        <v>5303</v>
      </c>
      <c r="T169" s="18">
        <f>IF(tblKadry[[#This Row],[Stawka_pełny_etat]]="","",tblKadry[[#This Row],[Stawka_pełny_etat]]/tblKadry[[#This Row],[Środek_widełek]])</f>
        <v>0.98811993211389781</v>
      </c>
      <c r="U16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6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0" spans="1:22" x14ac:dyDescent="0.3">
      <c r="A170" s="1" t="s">
        <v>238</v>
      </c>
      <c r="B170" s="1" t="s">
        <v>39</v>
      </c>
      <c r="C170" s="1" t="s">
        <v>43</v>
      </c>
      <c r="D170" s="1" t="s">
        <v>59</v>
      </c>
      <c r="E170" s="1" t="s">
        <v>24</v>
      </c>
      <c r="F170" s="1" t="s">
        <v>67</v>
      </c>
      <c r="G170" s="17">
        <v>45874</v>
      </c>
      <c r="H170" s="1" t="s">
        <v>61</v>
      </c>
      <c r="I170" s="18">
        <v>1</v>
      </c>
      <c r="J170" s="19">
        <v>5210</v>
      </c>
      <c r="K170" s="19">
        <v>0</v>
      </c>
      <c r="L170" s="1" t="s">
        <v>62</v>
      </c>
      <c r="M170" s="17"/>
      <c r="N170" s="19">
        <f>tblKadry[[#This Row],[Wynagrodzenie_zasadnicze]]+tblKadry[[#This Row],[Dodatek_funkcyjny]]</f>
        <v>5210</v>
      </c>
      <c r="O170" s="19">
        <f>IF(OR(tblKadry[[#This Row],[Wynagrodzenie_zasadnicze]]="",tblKadry[[#This Row],[Etat]]=0),"",tblKadry[[#This Row],[Wynagrodzenie_zasadnicze]]/tblKadry[[#This Row],[Etat]])</f>
        <v>5210</v>
      </c>
      <c r="P170" s="21">
        <f>IF(AND(tblKadry[[#This Row],[Status]]="Aktywny",tblKadry[[#This Row],[Data_zatrudnienia]]&lt;=pDataRaportu),1,0)</f>
        <v>1</v>
      </c>
      <c r="Q170" s="20">
        <f>IF(tblKadry[[#This Row],[Data_zatrudnienia]]&gt;pDataRaportu,0,ROUND(YEARFRAC(tblKadry[[#This Row],[Data_zatrudnienia]],IF(tblKadry[[#This Row],[Data_zwolnienia]]="",pDataRaportu,tblKadry[[#This Row],[Data_zwolnienia]])),1))</f>
        <v>1.2</v>
      </c>
      <c r="R170" s="19">
        <f>tblKadry[[#This Row],[Brutto_mies]]*(1+pNarzut)</f>
        <v>6355.1580000000004</v>
      </c>
      <c r="S170" s="19">
        <f>_xlfn.XLOOKUP(tblKadry[[#This Row],[Grupa]],tblWidelki[Grupa],tblWidelki[Środek],"")</f>
        <v>5303</v>
      </c>
      <c r="T170" s="18">
        <f>IF(tblKadry[[#This Row],[Stawka_pełny_etat]]="","",tblKadry[[#This Row],[Stawka_pełny_etat]]/tblKadry[[#This Row],[Środek_widełek]])</f>
        <v>0.98246275693003959</v>
      </c>
      <c r="U17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1" spans="1:22" x14ac:dyDescent="0.3">
      <c r="A171" s="1" t="s">
        <v>258</v>
      </c>
      <c r="B171" s="1" t="s">
        <v>41</v>
      </c>
      <c r="C171" s="1" t="s">
        <v>45</v>
      </c>
      <c r="D171" s="1" t="s">
        <v>59</v>
      </c>
      <c r="E171" s="1" t="s">
        <v>24</v>
      </c>
      <c r="F171" s="1" t="s">
        <v>67</v>
      </c>
      <c r="G171" s="17">
        <v>44311</v>
      </c>
      <c r="H171" s="1" t="s">
        <v>61</v>
      </c>
      <c r="I171" s="18">
        <v>0.5</v>
      </c>
      <c r="J171" s="19">
        <v>2595</v>
      </c>
      <c r="K171" s="19">
        <v>0</v>
      </c>
      <c r="L171" s="1" t="s">
        <v>62</v>
      </c>
      <c r="M171" s="17"/>
      <c r="N171" s="19">
        <f>tblKadry[[#This Row],[Wynagrodzenie_zasadnicze]]+tblKadry[[#This Row],[Dodatek_funkcyjny]]</f>
        <v>2595</v>
      </c>
      <c r="O171" s="19">
        <f>IF(OR(tblKadry[[#This Row],[Wynagrodzenie_zasadnicze]]="",tblKadry[[#This Row],[Etat]]=0),"",tblKadry[[#This Row],[Wynagrodzenie_zasadnicze]]/tblKadry[[#This Row],[Etat]])</f>
        <v>5190</v>
      </c>
      <c r="P171" s="21">
        <f>IF(AND(tblKadry[[#This Row],[Status]]="Aktywny",tblKadry[[#This Row],[Data_zatrudnienia]]&lt;=pDataRaportu),1,0)</f>
        <v>1</v>
      </c>
      <c r="Q171" s="20">
        <f>IF(tblKadry[[#This Row],[Data_zatrudnienia]]&gt;pDataRaportu,0,ROUND(YEARFRAC(tblKadry[[#This Row],[Data_zatrudnienia]],IF(tblKadry[[#This Row],[Data_zwolnienia]]="",pDataRaportu,tblKadry[[#This Row],[Data_zwolnienia]])),1))</f>
        <v>5.4</v>
      </c>
      <c r="R171" s="19">
        <f>tblKadry[[#This Row],[Brutto_mies]]*(1+pNarzut)</f>
        <v>3165.3809999999999</v>
      </c>
      <c r="S171" s="19">
        <f>_xlfn.XLOOKUP(tblKadry[[#This Row],[Grupa]],tblWidelki[Grupa],tblWidelki[Środek],"")</f>
        <v>5303</v>
      </c>
      <c r="T171" s="18">
        <f>IF(tblKadry[[#This Row],[Stawka_pełny_etat]]="","",tblKadry[[#This Row],[Stawka_pełny_etat]]/tblKadry[[#This Row],[Środek_widełek]])</f>
        <v>0.97869130680746752</v>
      </c>
      <c r="U17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2" spans="1:22" x14ac:dyDescent="0.3">
      <c r="A172" s="1" t="s">
        <v>254</v>
      </c>
      <c r="B172" s="1" t="s">
        <v>40</v>
      </c>
      <c r="C172" s="1" t="s">
        <v>46</v>
      </c>
      <c r="D172" s="1" t="s">
        <v>99</v>
      </c>
      <c r="E172" s="1" t="s">
        <v>26</v>
      </c>
      <c r="F172" s="1" t="s">
        <v>67</v>
      </c>
      <c r="G172" s="17">
        <v>45118</v>
      </c>
      <c r="H172" s="1" t="s">
        <v>61</v>
      </c>
      <c r="I172" s="18">
        <v>1</v>
      </c>
      <c r="J172" s="19">
        <v>5170</v>
      </c>
      <c r="K172" s="19">
        <v>0</v>
      </c>
      <c r="L172" s="1" t="s">
        <v>62</v>
      </c>
      <c r="M172" s="17"/>
      <c r="N172" s="19">
        <f>tblKadry[[#This Row],[Wynagrodzenie_zasadnicze]]+tblKadry[[#This Row],[Dodatek_funkcyjny]]</f>
        <v>5170</v>
      </c>
      <c r="O172" s="19">
        <f>IF(OR(tblKadry[[#This Row],[Wynagrodzenie_zasadnicze]]="",tblKadry[[#This Row],[Etat]]=0),"",tblKadry[[#This Row],[Wynagrodzenie_zasadnicze]]/tblKadry[[#This Row],[Etat]])</f>
        <v>5170</v>
      </c>
      <c r="P172" s="21">
        <f>IF(AND(tblKadry[[#This Row],[Status]]="Aktywny",tblKadry[[#This Row],[Data_zatrudnienia]]&lt;=pDataRaportu),1,0)</f>
        <v>1</v>
      </c>
      <c r="Q172" s="20">
        <f>IF(tblKadry[[#This Row],[Data_zatrudnienia]]&gt;pDataRaportu,0,ROUND(YEARFRAC(tblKadry[[#This Row],[Data_zatrudnienia]],IF(tblKadry[[#This Row],[Data_zwolnienia]]="",pDataRaportu,tblKadry[[#This Row],[Data_zwolnienia]])),1))</f>
        <v>3.2</v>
      </c>
      <c r="R172" s="19">
        <f>tblKadry[[#This Row],[Brutto_mies]]*(1+pNarzut)</f>
        <v>6306.366</v>
      </c>
      <c r="S172" s="19">
        <f>_xlfn.XLOOKUP(tblKadry[[#This Row],[Grupa]],tblWidelki[Grupa],tblWidelki[Środek],"")</f>
        <v>6500</v>
      </c>
      <c r="T172" s="18">
        <f>IF(tblKadry[[#This Row],[Stawka_pełny_etat]]="","",tblKadry[[#This Row],[Stawka_pełny_etat]]/tblKadry[[#This Row],[Środek_widełek]])</f>
        <v>0.79538461538461536</v>
      </c>
      <c r="U17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7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3" spans="1:22" x14ac:dyDescent="0.3">
      <c r="A173" s="1" t="s">
        <v>74</v>
      </c>
      <c r="B173" s="1" t="s">
        <v>40</v>
      </c>
      <c r="C173" s="1" t="s">
        <v>43</v>
      </c>
      <c r="D173" s="1" t="s">
        <v>59</v>
      </c>
      <c r="E173" s="1" t="s">
        <v>24</v>
      </c>
      <c r="F173" s="1" t="s">
        <v>60</v>
      </c>
      <c r="G173" s="17">
        <v>44951</v>
      </c>
      <c r="H173" s="1" t="s">
        <v>61</v>
      </c>
      <c r="I173" s="18">
        <v>1</v>
      </c>
      <c r="J173" s="19">
        <v>5160</v>
      </c>
      <c r="K173" s="19">
        <v>0</v>
      </c>
      <c r="L173" s="1" t="s">
        <v>62</v>
      </c>
      <c r="M173" s="17"/>
      <c r="N173" s="19">
        <f>tblKadry[[#This Row],[Wynagrodzenie_zasadnicze]]+tblKadry[[#This Row],[Dodatek_funkcyjny]]</f>
        <v>5160</v>
      </c>
      <c r="O173" s="19">
        <f>IF(OR(tblKadry[[#This Row],[Wynagrodzenie_zasadnicze]]="",tblKadry[[#This Row],[Etat]]=0),"",tblKadry[[#This Row],[Wynagrodzenie_zasadnicze]]/tblKadry[[#This Row],[Etat]])</f>
        <v>5160</v>
      </c>
      <c r="P173" s="21">
        <f>IF(AND(tblKadry[[#This Row],[Status]]="Aktywny",tblKadry[[#This Row],[Data_zatrudnienia]]&lt;=pDataRaportu),1,0)</f>
        <v>1</v>
      </c>
      <c r="Q173" s="20">
        <f>IF(tblKadry[[#This Row],[Data_zatrudnienia]]&gt;pDataRaportu,0,ROUND(YEARFRAC(tblKadry[[#This Row],[Data_zatrudnienia]],IF(tblKadry[[#This Row],[Data_zwolnienia]]="",pDataRaportu,tblKadry[[#This Row],[Data_zwolnienia]])),1))</f>
        <v>3.7</v>
      </c>
      <c r="R173" s="19">
        <f>tblKadry[[#This Row],[Brutto_mies]]*(1+pNarzut)</f>
        <v>6294.1679999999997</v>
      </c>
      <c r="S173" s="19">
        <f>_xlfn.XLOOKUP(tblKadry[[#This Row],[Grupa]],tblWidelki[Grupa],tblWidelki[Środek],"")</f>
        <v>5303</v>
      </c>
      <c r="T173" s="18">
        <f>IF(tblKadry[[#This Row],[Stawka_pełny_etat]]="","",tblKadry[[#This Row],[Stawka_pełny_etat]]/tblKadry[[#This Row],[Środek_widełek]])</f>
        <v>0.9730341316236093</v>
      </c>
      <c r="U17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4" spans="1:22" x14ac:dyDescent="0.3">
      <c r="A174" s="1" t="s">
        <v>212</v>
      </c>
      <c r="B174" s="1" t="s">
        <v>38</v>
      </c>
      <c r="C174" s="1" t="s">
        <v>46</v>
      </c>
      <c r="D174" s="1" t="s">
        <v>99</v>
      </c>
      <c r="E174" s="1" t="s">
        <v>26</v>
      </c>
      <c r="F174" s="1" t="s">
        <v>67</v>
      </c>
      <c r="G174" s="17">
        <v>44965</v>
      </c>
      <c r="H174" s="1" t="s">
        <v>61</v>
      </c>
      <c r="I174" s="18">
        <v>1</v>
      </c>
      <c r="J174" s="19">
        <v>5140</v>
      </c>
      <c r="K174" s="19">
        <v>0</v>
      </c>
      <c r="L174" s="1" t="s">
        <v>62</v>
      </c>
      <c r="M174" s="17">
        <v>46173</v>
      </c>
      <c r="N174" s="19">
        <f>tblKadry[[#This Row],[Wynagrodzenie_zasadnicze]]+tblKadry[[#This Row],[Dodatek_funkcyjny]]</f>
        <v>5140</v>
      </c>
      <c r="O174" s="19">
        <f>IF(OR(tblKadry[[#This Row],[Wynagrodzenie_zasadnicze]]="",tblKadry[[#This Row],[Etat]]=0),"",tblKadry[[#This Row],[Wynagrodzenie_zasadnicze]]/tblKadry[[#This Row],[Etat]])</f>
        <v>5140</v>
      </c>
      <c r="P174" s="21">
        <f>IF(AND(tblKadry[[#This Row],[Status]]="Aktywny",tblKadry[[#This Row],[Data_zatrudnienia]]&lt;=pDataRaportu),1,0)</f>
        <v>1</v>
      </c>
      <c r="Q174" s="20">
        <f>IF(tblKadry[[#This Row],[Data_zatrudnienia]]&gt;pDataRaportu,0,ROUND(YEARFRAC(tblKadry[[#This Row],[Data_zatrudnienia]],IF(tblKadry[[#This Row],[Data_zwolnienia]]="",pDataRaportu,tblKadry[[#This Row],[Data_zwolnienia]])),1))</f>
        <v>3.3</v>
      </c>
      <c r="R174" s="19">
        <f>tblKadry[[#This Row],[Brutto_mies]]*(1+pNarzut)</f>
        <v>6269.7719999999999</v>
      </c>
      <c r="S174" s="19">
        <f>_xlfn.XLOOKUP(tblKadry[[#This Row],[Grupa]],tblWidelki[Grupa],tblWidelki[Środek],"")</f>
        <v>6500</v>
      </c>
      <c r="T174" s="18">
        <f>IF(tblKadry[[#This Row],[Stawka_pełny_etat]]="","",tblKadry[[#This Row],[Stawka_pełny_etat]]/tblKadry[[#This Row],[Środek_widełek]])</f>
        <v>0.79076923076923078</v>
      </c>
      <c r="U17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7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Aktywny z datą zwolnienia</v>
      </c>
    </row>
    <row r="175" spans="1:22" x14ac:dyDescent="0.3">
      <c r="A175" s="1" t="s">
        <v>207</v>
      </c>
      <c r="B175" s="1" t="s">
        <v>39</v>
      </c>
      <c r="C175" s="1" t="s">
        <v>44</v>
      </c>
      <c r="D175" s="1" t="s">
        <v>59</v>
      </c>
      <c r="E175" s="1" t="s">
        <v>24</v>
      </c>
      <c r="F175" s="1" t="s">
        <v>60</v>
      </c>
      <c r="G175" s="17">
        <v>44334</v>
      </c>
      <c r="H175" s="1" t="s">
        <v>61</v>
      </c>
      <c r="I175" s="18">
        <v>1</v>
      </c>
      <c r="J175" s="19">
        <v>5140</v>
      </c>
      <c r="K175" s="19">
        <v>0</v>
      </c>
      <c r="L175" s="1" t="s">
        <v>62</v>
      </c>
      <c r="M175" s="17"/>
      <c r="N175" s="19">
        <f>tblKadry[[#This Row],[Wynagrodzenie_zasadnicze]]+tblKadry[[#This Row],[Dodatek_funkcyjny]]</f>
        <v>5140</v>
      </c>
      <c r="O175" s="19">
        <f>IF(OR(tblKadry[[#This Row],[Wynagrodzenie_zasadnicze]]="",tblKadry[[#This Row],[Etat]]=0),"",tblKadry[[#This Row],[Wynagrodzenie_zasadnicze]]/tblKadry[[#This Row],[Etat]])</f>
        <v>5140</v>
      </c>
      <c r="P175" s="21">
        <f>IF(AND(tblKadry[[#This Row],[Status]]="Aktywny",tblKadry[[#This Row],[Data_zatrudnienia]]&lt;=pDataRaportu),1,0)</f>
        <v>1</v>
      </c>
      <c r="Q175" s="20">
        <f>IF(tblKadry[[#This Row],[Data_zatrudnienia]]&gt;pDataRaportu,0,ROUND(YEARFRAC(tblKadry[[#This Row],[Data_zatrudnienia]],IF(tblKadry[[#This Row],[Data_zwolnienia]]="",pDataRaportu,tblKadry[[#This Row],[Data_zwolnienia]])),1))</f>
        <v>5.4</v>
      </c>
      <c r="R175" s="19">
        <f>tblKadry[[#This Row],[Brutto_mies]]*(1+pNarzut)</f>
        <v>6269.7719999999999</v>
      </c>
      <c r="S175" s="19">
        <f>_xlfn.XLOOKUP(tblKadry[[#This Row],[Grupa]],tblWidelki[Grupa],tblWidelki[Środek],"")</f>
        <v>5303</v>
      </c>
      <c r="T175" s="18">
        <f>IF(tblKadry[[#This Row],[Stawka_pełny_etat]]="","",tblKadry[[#This Row],[Stawka_pełny_etat]]/tblKadry[[#This Row],[Środek_widełek]])</f>
        <v>0.96926268150103712</v>
      </c>
      <c r="U17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6" spans="1:22" x14ac:dyDescent="0.3">
      <c r="A176" s="1" t="s">
        <v>149</v>
      </c>
      <c r="B176" s="1" t="s">
        <v>39</v>
      </c>
      <c r="C176" s="1" t="s">
        <v>44</v>
      </c>
      <c r="D176" s="1" t="s">
        <v>59</v>
      </c>
      <c r="E176" s="1" t="s">
        <v>24</v>
      </c>
      <c r="F176" s="1" t="s">
        <v>67</v>
      </c>
      <c r="G176" s="17">
        <v>44313</v>
      </c>
      <c r="H176" s="1" t="s">
        <v>61</v>
      </c>
      <c r="I176" s="18">
        <v>1</v>
      </c>
      <c r="J176" s="19">
        <v>5120</v>
      </c>
      <c r="K176" s="19">
        <v>0</v>
      </c>
      <c r="L176" s="1" t="s">
        <v>62</v>
      </c>
      <c r="M176" s="17"/>
      <c r="N176" s="19">
        <f>tblKadry[[#This Row],[Wynagrodzenie_zasadnicze]]+tblKadry[[#This Row],[Dodatek_funkcyjny]]</f>
        <v>5120</v>
      </c>
      <c r="O176" s="19">
        <f>IF(OR(tblKadry[[#This Row],[Wynagrodzenie_zasadnicze]]="",tblKadry[[#This Row],[Etat]]=0),"",tblKadry[[#This Row],[Wynagrodzenie_zasadnicze]]/tblKadry[[#This Row],[Etat]])</f>
        <v>5120</v>
      </c>
      <c r="P176" s="21">
        <f>IF(AND(tblKadry[[#This Row],[Status]]="Aktywny",tblKadry[[#This Row],[Data_zatrudnienia]]&lt;=pDataRaportu),1,0)</f>
        <v>1</v>
      </c>
      <c r="Q176" s="20">
        <f>IF(tblKadry[[#This Row],[Data_zatrudnienia]]&gt;pDataRaportu,0,ROUND(YEARFRAC(tblKadry[[#This Row],[Data_zatrudnienia]],IF(tblKadry[[#This Row],[Data_zwolnienia]]="",pDataRaportu,tblKadry[[#This Row],[Data_zwolnienia]])),1))</f>
        <v>5.4</v>
      </c>
      <c r="R176" s="19">
        <f>tblKadry[[#This Row],[Brutto_mies]]*(1+pNarzut)</f>
        <v>6245.3760000000002</v>
      </c>
      <c r="S176" s="19">
        <f>_xlfn.XLOOKUP(tblKadry[[#This Row],[Grupa]],tblWidelki[Grupa],tblWidelki[Środek],"")</f>
        <v>5303</v>
      </c>
      <c r="T176" s="18">
        <f>IF(tblKadry[[#This Row],[Stawka_pełny_etat]]="","",tblKadry[[#This Row],[Stawka_pełny_etat]]/tblKadry[[#This Row],[Środek_widełek]])</f>
        <v>0.96549123137846504</v>
      </c>
      <c r="U17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7" spans="1:22" x14ac:dyDescent="0.3">
      <c r="A177" s="1" t="s">
        <v>186</v>
      </c>
      <c r="B177" s="1" t="s">
        <v>39</v>
      </c>
      <c r="C177" s="1" t="s">
        <v>47</v>
      </c>
      <c r="D177" s="1" t="s">
        <v>80</v>
      </c>
      <c r="E177" s="1" t="s">
        <v>24</v>
      </c>
      <c r="F177" s="1" t="s">
        <v>67</v>
      </c>
      <c r="G177" s="17">
        <v>44678</v>
      </c>
      <c r="H177" s="1" t="s">
        <v>61</v>
      </c>
      <c r="I177" s="18">
        <v>1</v>
      </c>
      <c r="J177" s="19">
        <v>5070</v>
      </c>
      <c r="K177" s="19">
        <v>0</v>
      </c>
      <c r="L177" s="1" t="s">
        <v>62</v>
      </c>
      <c r="M177" s="17"/>
      <c r="N177" s="19">
        <f>tblKadry[[#This Row],[Wynagrodzenie_zasadnicze]]+tblKadry[[#This Row],[Dodatek_funkcyjny]]</f>
        <v>5070</v>
      </c>
      <c r="O177" s="19">
        <f>IF(OR(tblKadry[[#This Row],[Wynagrodzenie_zasadnicze]]="",tblKadry[[#This Row],[Etat]]=0),"",tblKadry[[#This Row],[Wynagrodzenie_zasadnicze]]/tblKadry[[#This Row],[Etat]])</f>
        <v>5070</v>
      </c>
      <c r="P177" s="21">
        <f>IF(AND(tblKadry[[#This Row],[Status]]="Aktywny",tblKadry[[#This Row],[Data_zatrudnienia]]&lt;=pDataRaportu),1,0)</f>
        <v>1</v>
      </c>
      <c r="Q177" s="20">
        <f>IF(tblKadry[[#This Row],[Data_zatrudnienia]]&gt;pDataRaportu,0,ROUND(YEARFRAC(tblKadry[[#This Row],[Data_zatrudnienia]],IF(tblKadry[[#This Row],[Data_zwolnienia]]="",pDataRaportu,tblKadry[[#This Row],[Data_zwolnienia]])),1))</f>
        <v>4.4000000000000004</v>
      </c>
      <c r="R177" s="19">
        <f>tblKadry[[#This Row],[Brutto_mies]]*(1+pNarzut)</f>
        <v>6184.3860000000004</v>
      </c>
      <c r="S177" s="19">
        <f>_xlfn.XLOOKUP(tblKadry[[#This Row],[Grupa]],tblWidelki[Grupa],tblWidelki[Środek],"")</f>
        <v>5303</v>
      </c>
      <c r="T177" s="18">
        <f>IF(tblKadry[[#This Row],[Stawka_pełny_etat]]="","",tblKadry[[#This Row],[Stawka_pełny_etat]]/tblKadry[[#This Row],[Środek_widełek]])</f>
        <v>0.95606260607203475</v>
      </c>
      <c r="U17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8" spans="1:22" x14ac:dyDescent="0.3">
      <c r="A178" s="1" t="s">
        <v>224</v>
      </c>
      <c r="B178" s="1" t="s">
        <v>38</v>
      </c>
      <c r="C178" s="1" t="s">
        <v>45</v>
      </c>
      <c r="D178" s="1" t="s">
        <v>59</v>
      </c>
      <c r="E178" s="1" t="s">
        <v>24</v>
      </c>
      <c r="F178" s="1" t="s">
        <v>67</v>
      </c>
      <c r="G178" s="17">
        <v>44486</v>
      </c>
      <c r="H178" s="1" t="s">
        <v>61</v>
      </c>
      <c r="I178" s="18">
        <v>1</v>
      </c>
      <c r="J178" s="19">
        <v>5070</v>
      </c>
      <c r="K178" s="19">
        <v>0</v>
      </c>
      <c r="L178" s="1" t="s">
        <v>62</v>
      </c>
      <c r="M178" s="17"/>
      <c r="N178" s="19">
        <f>tblKadry[[#This Row],[Wynagrodzenie_zasadnicze]]+tblKadry[[#This Row],[Dodatek_funkcyjny]]</f>
        <v>5070</v>
      </c>
      <c r="O178" s="19">
        <f>IF(OR(tblKadry[[#This Row],[Wynagrodzenie_zasadnicze]]="",tblKadry[[#This Row],[Etat]]=0),"",tblKadry[[#This Row],[Wynagrodzenie_zasadnicze]]/tblKadry[[#This Row],[Etat]])</f>
        <v>5070</v>
      </c>
      <c r="P178" s="21">
        <f>IF(AND(tblKadry[[#This Row],[Status]]="Aktywny",tblKadry[[#This Row],[Data_zatrudnienia]]&lt;=pDataRaportu),1,0)</f>
        <v>1</v>
      </c>
      <c r="Q178" s="20">
        <f>IF(tblKadry[[#This Row],[Data_zatrudnienia]]&gt;pDataRaportu,0,ROUND(YEARFRAC(tblKadry[[#This Row],[Data_zatrudnienia]],IF(tblKadry[[#This Row],[Data_zwolnienia]]="",pDataRaportu,tblKadry[[#This Row],[Data_zwolnienia]])),1))</f>
        <v>5</v>
      </c>
      <c r="R178" s="19">
        <f>tblKadry[[#This Row],[Brutto_mies]]*(1+pNarzut)</f>
        <v>6184.3860000000004</v>
      </c>
      <c r="S178" s="19">
        <f>_xlfn.XLOOKUP(tblKadry[[#This Row],[Grupa]],tblWidelki[Grupa],tblWidelki[Środek],"")</f>
        <v>5303</v>
      </c>
      <c r="T178" s="18">
        <f>IF(tblKadry[[#This Row],[Stawka_pełny_etat]]="","",tblKadry[[#This Row],[Stawka_pełny_etat]]/tblKadry[[#This Row],[Środek_widełek]])</f>
        <v>0.95606260607203475</v>
      </c>
      <c r="U178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8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79" spans="1:22" x14ac:dyDescent="0.3">
      <c r="A179" s="1" t="s">
        <v>216</v>
      </c>
      <c r="B179" s="1" t="s">
        <v>39</v>
      </c>
      <c r="C179" s="1" t="s">
        <v>45</v>
      </c>
      <c r="D179" s="1" t="s">
        <v>59</v>
      </c>
      <c r="E179" s="1" t="s">
        <v>24</v>
      </c>
      <c r="F179" s="1" t="s">
        <v>67</v>
      </c>
      <c r="G179" s="17">
        <v>44087</v>
      </c>
      <c r="H179" s="1" t="s">
        <v>61</v>
      </c>
      <c r="I179" s="18">
        <v>1</v>
      </c>
      <c r="J179" s="19">
        <v>5070</v>
      </c>
      <c r="K179" s="19">
        <v>0</v>
      </c>
      <c r="L179" s="1" t="s">
        <v>62</v>
      </c>
      <c r="M179" s="17"/>
      <c r="N179" s="19">
        <f>tblKadry[[#This Row],[Wynagrodzenie_zasadnicze]]+tblKadry[[#This Row],[Dodatek_funkcyjny]]</f>
        <v>5070</v>
      </c>
      <c r="O179" s="19">
        <f>IF(OR(tblKadry[[#This Row],[Wynagrodzenie_zasadnicze]]="",tblKadry[[#This Row],[Etat]]=0),"",tblKadry[[#This Row],[Wynagrodzenie_zasadnicze]]/tblKadry[[#This Row],[Etat]])</f>
        <v>5070</v>
      </c>
      <c r="P179" s="21">
        <f>IF(AND(tblKadry[[#This Row],[Status]]="Aktywny",tblKadry[[#This Row],[Data_zatrudnienia]]&lt;=pDataRaportu),1,0)</f>
        <v>1</v>
      </c>
      <c r="Q179" s="20">
        <f>IF(tblKadry[[#This Row],[Data_zatrudnienia]]&gt;pDataRaportu,0,ROUND(YEARFRAC(tblKadry[[#This Row],[Data_zatrudnienia]],IF(tblKadry[[#This Row],[Data_zwolnienia]]="",pDataRaportu,tblKadry[[#This Row],[Data_zwolnienia]])),1))</f>
        <v>6</v>
      </c>
      <c r="R179" s="19">
        <f>tblKadry[[#This Row],[Brutto_mies]]*(1+pNarzut)</f>
        <v>6184.3860000000004</v>
      </c>
      <c r="S179" s="19">
        <f>_xlfn.XLOOKUP(tblKadry[[#This Row],[Grupa]],tblWidelki[Grupa],tblWidelki[Środek],"")</f>
        <v>5303</v>
      </c>
      <c r="T179" s="18">
        <f>IF(tblKadry[[#This Row],[Stawka_pełny_etat]]="","",tblKadry[[#This Row],[Stawka_pełny_etat]]/tblKadry[[#This Row],[Środek_widełek]])</f>
        <v>0.95606260607203475</v>
      </c>
      <c r="U179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79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80" spans="1:22" x14ac:dyDescent="0.3">
      <c r="A180" s="1" t="s">
        <v>218</v>
      </c>
      <c r="B180" s="1" t="s">
        <v>41</v>
      </c>
      <c r="C180" s="1" t="s">
        <v>46</v>
      </c>
      <c r="D180" s="1" t="s">
        <v>99</v>
      </c>
      <c r="E180" s="1" t="s">
        <v>26</v>
      </c>
      <c r="F180" s="1" t="s">
        <v>60</v>
      </c>
      <c r="G180" s="17">
        <v>43935</v>
      </c>
      <c r="H180" s="1" t="s">
        <v>61</v>
      </c>
      <c r="I180" s="18">
        <v>1</v>
      </c>
      <c r="J180" s="19">
        <v>5040</v>
      </c>
      <c r="K180" s="19">
        <v>0</v>
      </c>
      <c r="L180" s="1" t="s">
        <v>83</v>
      </c>
      <c r="M180" s="17">
        <v>46081</v>
      </c>
      <c r="N180" s="19">
        <f>tblKadry[[#This Row],[Wynagrodzenie_zasadnicze]]+tblKadry[[#This Row],[Dodatek_funkcyjny]]</f>
        <v>5040</v>
      </c>
      <c r="O180" s="19">
        <f>IF(OR(tblKadry[[#This Row],[Wynagrodzenie_zasadnicze]]="",tblKadry[[#This Row],[Etat]]=0),"",tblKadry[[#This Row],[Wynagrodzenie_zasadnicze]]/tblKadry[[#This Row],[Etat]])</f>
        <v>5040</v>
      </c>
      <c r="P180" s="21">
        <f>IF(AND(tblKadry[[#This Row],[Status]]="Aktywny",tblKadry[[#This Row],[Data_zatrudnienia]]&lt;=pDataRaportu),1,0)</f>
        <v>0</v>
      </c>
      <c r="Q180" s="20">
        <f>IF(tblKadry[[#This Row],[Data_zatrudnienia]]&gt;pDataRaportu,0,ROUND(YEARFRAC(tblKadry[[#This Row],[Data_zatrudnienia]],IF(tblKadry[[#This Row],[Data_zwolnienia]]="",pDataRaportu,tblKadry[[#This Row],[Data_zwolnienia]])),1))</f>
        <v>5.9</v>
      </c>
      <c r="R180" s="19">
        <f>tblKadry[[#This Row],[Brutto_mies]]*(1+pNarzut)</f>
        <v>6147.7920000000004</v>
      </c>
      <c r="S180" s="19">
        <f>_xlfn.XLOOKUP(tblKadry[[#This Row],[Grupa]],tblWidelki[Grupa],tblWidelki[Środek],"")</f>
        <v>6500</v>
      </c>
      <c r="T180" s="18">
        <f>IF(tblKadry[[#This Row],[Stawka_pełny_etat]]="","",tblKadry[[#This Row],[Stawka_pełny_etat]]/tblKadry[[#This Row],[Środek_widełek]])</f>
        <v>0.77538461538461534</v>
      </c>
      <c r="U180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80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81" spans="1:22" x14ac:dyDescent="0.3">
      <c r="A181" s="1" t="s">
        <v>239</v>
      </c>
      <c r="B181" s="1" t="s">
        <v>40</v>
      </c>
      <c r="C181" s="1" t="s">
        <v>47</v>
      </c>
      <c r="D181" s="1" t="s">
        <v>80</v>
      </c>
      <c r="E181" s="1" t="s">
        <v>24</v>
      </c>
      <c r="F181" s="1" t="s">
        <v>67</v>
      </c>
      <c r="G181" s="17">
        <v>43848</v>
      </c>
      <c r="H181" s="1" t="s">
        <v>68</v>
      </c>
      <c r="I181" s="18">
        <v>1</v>
      </c>
      <c r="J181" s="19">
        <v>5030</v>
      </c>
      <c r="K181" s="19">
        <v>0</v>
      </c>
      <c r="L181" s="1" t="s">
        <v>62</v>
      </c>
      <c r="M181" s="17"/>
      <c r="N181" s="19">
        <f>tblKadry[[#This Row],[Wynagrodzenie_zasadnicze]]+tblKadry[[#This Row],[Dodatek_funkcyjny]]</f>
        <v>5030</v>
      </c>
      <c r="O181" s="19">
        <f>IF(OR(tblKadry[[#This Row],[Wynagrodzenie_zasadnicze]]="",tblKadry[[#This Row],[Etat]]=0),"",tblKadry[[#This Row],[Wynagrodzenie_zasadnicze]]/tblKadry[[#This Row],[Etat]])</f>
        <v>5030</v>
      </c>
      <c r="P181" s="21">
        <f>IF(AND(tblKadry[[#This Row],[Status]]="Aktywny",tblKadry[[#This Row],[Data_zatrudnienia]]&lt;=pDataRaportu),1,0)</f>
        <v>1</v>
      </c>
      <c r="Q181" s="20">
        <f>IF(tblKadry[[#This Row],[Data_zatrudnienia]]&gt;pDataRaportu,0,ROUND(YEARFRAC(tblKadry[[#This Row],[Data_zatrudnienia]],IF(tblKadry[[#This Row],[Data_zwolnienia]]="",pDataRaportu,tblKadry[[#This Row],[Data_zwolnienia]])),1))</f>
        <v>6.7</v>
      </c>
      <c r="R181" s="19">
        <f>tblKadry[[#This Row],[Brutto_mies]]*(1+pNarzut)</f>
        <v>6135.5940000000001</v>
      </c>
      <c r="S181" s="19">
        <f>_xlfn.XLOOKUP(tblKadry[[#This Row],[Grupa]],tblWidelki[Grupa],tblWidelki[Środek],"")</f>
        <v>5303</v>
      </c>
      <c r="T181" s="18">
        <f>IF(tblKadry[[#This Row],[Stawka_pełny_etat]]="","",tblKadry[[#This Row],[Stawka_pełny_etat]]/tblKadry[[#This Row],[Środek_widełek]])</f>
        <v>0.94851970582689049</v>
      </c>
      <c r="U181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81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Umowa terminowa &gt; 33 mies. (art. 25¹ KP)</v>
      </c>
    </row>
    <row r="182" spans="1:22" x14ac:dyDescent="0.3">
      <c r="A182" s="1" t="s">
        <v>120</v>
      </c>
      <c r="B182" s="1" t="s">
        <v>38</v>
      </c>
      <c r="C182" s="1" t="s">
        <v>43</v>
      </c>
      <c r="D182" s="1" t="s">
        <v>59</v>
      </c>
      <c r="E182" s="1" t="s">
        <v>24</v>
      </c>
      <c r="F182" s="1" t="s">
        <v>67</v>
      </c>
      <c r="G182" s="17">
        <v>45474</v>
      </c>
      <c r="H182" s="1" t="s">
        <v>61</v>
      </c>
      <c r="I182" s="18">
        <v>1</v>
      </c>
      <c r="J182" s="19">
        <v>5000</v>
      </c>
      <c r="K182" s="19">
        <v>0</v>
      </c>
      <c r="L182" s="1" t="s">
        <v>83</v>
      </c>
      <c r="M182" s="17">
        <v>46293</v>
      </c>
      <c r="N182" s="19">
        <f>tblKadry[[#This Row],[Wynagrodzenie_zasadnicze]]+tblKadry[[#This Row],[Dodatek_funkcyjny]]</f>
        <v>5000</v>
      </c>
      <c r="O182" s="19">
        <f>IF(OR(tblKadry[[#This Row],[Wynagrodzenie_zasadnicze]]="",tblKadry[[#This Row],[Etat]]=0),"",tblKadry[[#This Row],[Wynagrodzenie_zasadnicze]]/tblKadry[[#This Row],[Etat]])</f>
        <v>5000</v>
      </c>
      <c r="P182" s="21">
        <f>IF(AND(tblKadry[[#This Row],[Status]]="Aktywny",tblKadry[[#This Row],[Data_zatrudnienia]]&lt;=pDataRaportu),1,0)</f>
        <v>0</v>
      </c>
      <c r="Q182" s="20">
        <f>IF(tblKadry[[#This Row],[Data_zatrudnienia]]&gt;pDataRaportu,0,ROUND(YEARFRAC(tblKadry[[#This Row],[Data_zatrudnienia]],IF(tblKadry[[#This Row],[Data_zwolnienia]]="",pDataRaportu,tblKadry[[#This Row],[Data_zwolnienia]])),1))</f>
        <v>2.2000000000000002</v>
      </c>
      <c r="R182" s="19">
        <f>tblKadry[[#This Row],[Brutto_mies]]*(1+pNarzut)</f>
        <v>6099</v>
      </c>
      <c r="S182" s="19">
        <f>_xlfn.XLOOKUP(tblKadry[[#This Row],[Grupa]],tblWidelki[Grupa],tblWidelki[Środek],"")</f>
        <v>5303</v>
      </c>
      <c r="T182" s="18">
        <f>IF(tblKadry[[#This Row],[Stawka_pełny_etat]]="","",tblKadry[[#This Row],[Stawka_pełny_etat]]/tblKadry[[#This Row],[Środek_widełek]])</f>
        <v>0.94286253064303227</v>
      </c>
      <c r="U182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82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83" spans="1:22" x14ac:dyDescent="0.3">
      <c r="A183" s="1" t="s">
        <v>228</v>
      </c>
      <c r="B183" s="1" t="s">
        <v>40</v>
      </c>
      <c r="C183" s="1" t="s">
        <v>45</v>
      </c>
      <c r="D183" s="1" t="s">
        <v>59</v>
      </c>
      <c r="E183" s="1" t="s">
        <v>24</v>
      </c>
      <c r="F183" s="1" t="s">
        <v>67</v>
      </c>
      <c r="G183" s="17">
        <v>46060</v>
      </c>
      <c r="H183" s="1" t="s">
        <v>61</v>
      </c>
      <c r="I183" s="18">
        <v>1</v>
      </c>
      <c r="J183" s="19">
        <v>4920</v>
      </c>
      <c r="K183" s="19">
        <v>0</v>
      </c>
      <c r="L183" s="1" t="s">
        <v>62</v>
      </c>
      <c r="M183" s="17"/>
      <c r="N183" s="19">
        <f>tblKadry[[#This Row],[Wynagrodzenie_zasadnicze]]+tblKadry[[#This Row],[Dodatek_funkcyjny]]</f>
        <v>4920</v>
      </c>
      <c r="O183" s="19">
        <f>IF(OR(tblKadry[[#This Row],[Wynagrodzenie_zasadnicze]]="",tblKadry[[#This Row],[Etat]]=0),"",tblKadry[[#This Row],[Wynagrodzenie_zasadnicze]]/tblKadry[[#This Row],[Etat]])</f>
        <v>4920</v>
      </c>
      <c r="P183" s="21">
        <f>IF(AND(tblKadry[[#This Row],[Status]]="Aktywny",tblKadry[[#This Row],[Data_zatrudnienia]]&lt;=pDataRaportu),1,0)</f>
        <v>1</v>
      </c>
      <c r="Q183" s="20">
        <f>IF(tblKadry[[#This Row],[Data_zatrudnienia]]&gt;pDataRaportu,0,ROUND(YEARFRAC(tblKadry[[#This Row],[Data_zatrudnienia]],IF(tblKadry[[#This Row],[Data_zwolnienia]]="",pDataRaportu,tblKadry[[#This Row],[Data_zwolnienia]])),1))</f>
        <v>0.6</v>
      </c>
      <c r="R183" s="19">
        <f>tblKadry[[#This Row],[Brutto_mies]]*(1+pNarzut)</f>
        <v>6001.4160000000002</v>
      </c>
      <c r="S183" s="19">
        <f>_xlfn.XLOOKUP(tblKadry[[#This Row],[Grupa]],tblWidelki[Grupa],tblWidelki[Środek],"")</f>
        <v>5303</v>
      </c>
      <c r="T183" s="18">
        <f>IF(tblKadry[[#This Row],[Stawka_pełny_etat]]="","",tblKadry[[#This Row],[Stawka_pełny_etat]]/tblKadry[[#This Row],[Środek_widełek]])</f>
        <v>0.92777673015274376</v>
      </c>
      <c r="U183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83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84" spans="1:22" x14ac:dyDescent="0.3">
      <c r="A184" s="1" t="s">
        <v>79</v>
      </c>
      <c r="B184" s="1" t="s">
        <v>38</v>
      </c>
      <c r="C184" s="1" t="s">
        <v>47</v>
      </c>
      <c r="D184" s="1" t="s">
        <v>80</v>
      </c>
      <c r="E184" s="1" t="s">
        <v>24</v>
      </c>
      <c r="F184" s="1" t="s">
        <v>67</v>
      </c>
      <c r="G184" s="17">
        <v>45693</v>
      </c>
      <c r="H184" s="1" t="s">
        <v>61</v>
      </c>
      <c r="I184" s="18">
        <v>0.5</v>
      </c>
      <c r="J184" s="19">
        <v>2455</v>
      </c>
      <c r="K184" s="19">
        <v>0</v>
      </c>
      <c r="L184" s="1" t="s">
        <v>62</v>
      </c>
      <c r="M184" s="17"/>
      <c r="N184" s="19">
        <f>tblKadry[[#This Row],[Wynagrodzenie_zasadnicze]]+tblKadry[[#This Row],[Dodatek_funkcyjny]]</f>
        <v>2455</v>
      </c>
      <c r="O184" s="19">
        <f>IF(OR(tblKadry[[#This Row],[Wynagrodzenie_zasadnicze]]="",tblKadry[[#This Row],[Etat]]=0),"",tblKadry[[#This Row],[Wynagrodzenie_zasadnicze]]/tblKadry[[#This Row],[Etat]])</f>
        <v>4910</v>
      </c>
      <c r="P184" s="21">
        <f>IF(AND(tblKadry[[#This Row],[Status]]="Aktywny",tblKadry[[#This Row],[Data_zatrudnienia]]&lt;=pDataRaportu),1,0)</f>
        <v>1</v>
      </c>
      <c r="Q184" s="20">
        <f>IF(tblKadry[[#This Row],[Data_zatrudnienia]]&gt;pDataRaportu,0,ROUND(YEARFRAC(tblKadry[[#This Row],[Data_zatrudnienia]],IF(tblKadry[[#This Row],[Data_zwolnienia]]="",pDataRaportu,tblKadry[[#This Row],[Data_zwolnienia]])),1))</f>
        <v>1.7</v>
      </c>
      <c r="R184" s="19">
        <f>tblKadry[[#This Row],[Brutto_mies]]*(1+pNarzut)</f>
        <v>2994.6089999999999</v>
      </c>
      <c r="S184" s="19">
        <f>_xlfn.XLOOKUP(tblKadry[[#This Row],[Grupa]],tblWidelki[Grupa],tblWidelki[Środek],"")</f>
        <v>5303</v>
      </c>
      <c r="T184" s="18">
        <f>IF(tblKadry[[#This Row],[Stawka_pełny_etat]]="","",tblKadry[[#This Row],[Stawka_pełny_etat]]/tblKadry[[#This Row],[Środek_widełek]])</f>
        <v>0.92589100509145772</v>
      </c>
      <c r="U184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84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85" spans="1:22" x14ac:dyDescent="0.3">
      <c r="A185" s="1" t="s">
        <v>168</v>
      </c>
      <c r="B185" s="1" t="s">
        <v>39</v>
      </c>
      <c r="C185" s="1" t="s">
        <v>47</v>
      </c>
      <c r="D185" s="1" t="s">
        <v>80</v>
      </c>
      <c r="E185" s="1" t="s">
        <v>24</v>
      </c>
      <c r="F185" s="1" t="s">
        <v>67</v>
      </c>
      <c r="G185" s="17">
        <v>45858</v>
      </c>
      <c r="H185" s="1" t="s">
        <v>68</v>
      </c>
      <c r="I185" s="18">
        <v>1</v>
      </c>
      <c r="J185" s="19">
        <v>4860</v>
      </c>
      <c r="K185" s="19">
        <v>0</v>
      </c>
      <c r="L185" s="1" t="s">
        <v>62</v>
      </c>
      <c r="M185" s="17"/>
      <c r="N185" s="19">
        <f>tblKadry[[#This Row],[Wynagrodzenie_zasadnicze]]+tblKadry[[#This Row],[Dodatek_funkcyjny]]</f>
        <v>4860</v>
      </c>
      <c r="O185" s="19">
        <f>IF(OR(tblKadry[[#This Row],[Wynagrodzenie_zasadnicze]]="",tblKadry[[#This Row],[Etat]]=0),"",tblKadry[[#This Row],[Wynagrodzenie_zasadnicze]]/tblKadry[[#This Row],[Etat]])</f>
        <v>4860</v>
      </c>
      <c r="P185" s="21">
        <f>IF(AND(tblKadry[[#This Row],[Status]]="Aktywny",tblKadry[[#This Row],[Data_zatrudnienia]]&lt;=pDataRaportu),1,0)</f>
        <v>1</v>
      </c>
      <c r="Q185" s="20">
        <f>IF(tblKadry[[#This Row],[Data_zatrudnienia]]&gt;pDataRaportu,0,ROUND(YEARFRAC(tblKadry[[#This Row],[Data_zatrudnienia]],IF(tblKadry[[#This Row],[Data_zwolnienia]]="",pDataRaportu,tblKadry[[#This Row],[Data_zwolnienia]])),1))</f>
        <v>1.2</v>
      </c>
      <c r="R185" s="19">
        <f>tblKadry[[#This Row],[Brutto_mies]]*(1+pNarzut)</f>
        <v>5928.2280000000001</v>
      </c>
      <c r="S185" s="19">
        <f>_xlfn.XLOOKUP(tblKadry[[#This Row],[Grupa]],tblWidelki[Grupa],tblWidelki[Środek],"")</f>
        <v>5303</v>
      </c>
      <c r="T185" s="18">
        <f>IF(tblKadry[[#This Row],[Stawka_pełny_etat]]="","",tblKadry[[#This Row],[Stawka_pełny_etat]]/tblKadry[[#This Row],[Środek_widełek]])</f>
        <v>0.91646237978502731</v>
      </c>
      <c r="U185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W widełkach</v>
      </c>
      <c r="V185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/>
      </c>
    </row>
    <row r="186" spans="1:22" x14ac:dyDescent="0.3">
      <c r="A186" s="1" t="s">
        <v>109</v>
      </c>
      <c r="B186" s="1" t="s">
        <v>39</v>
      </c>
      <c r="C186" s="1" t="s">
        <v>47</v>
      </c>
      <c r="D186" s="1" t="s">
        <v>80</v>
      </c>
      <c r="E186" s="1" t="s">
        <v>24</v>
      </c>
      <c r="F186" s="1" t="s">
        <v>67</v>
      </c>
      <c r="G186" s="17">
        <v>43498</v>
      </c>
      <c r="H186" s="1" t="s">
        <v>61</v>
      </c>
      <c r="I186" s="18">
        <v>1</v>
      </c>
      <c r="J186" s="19">
        <v>4650</v>
      </c>
      <c r="K186" s="19">
        <v>0</v>
      </c>
      <c r="L186" s="1" t="s">
        <v>62</v>
      </c>
      <c r="M186" s="17"/>
      <c r="N186" s="19">
        <f>tblKadry[[#This Row],[Wynagrodzenie_zasadnicze]]+tblKadry[[#This Row],[Dodatek_funkcyjny]]</f>
        <v>4650</v>
      </c>
      <c r="O186" s="19">
        <f>IF(OR(tblKadry[[#This Row],[Wynagrodzenie_zasadnicze]]="",tblKadry[[#This Row],[Etat]]=0),"",tblKadry[[#This Row],[Wynagrodzenie_zasadnicze]]/tblKadry[[#This Row],[Etat]])</f>
        <v>4650</v>
      </c>
      <c r="P186" s="21">
        <f>IF(AND(tblKadry[[#This Row],[Status]]="Aktywny",tblKadry[[#This Row],[Data_zatrudnienia]]&lt;=pDataRaportu),1,0)</f>
        <v>1</v>
      </c>
      <c r="Q186" s="20">
        <f>IF(tblKadry[[#This Row],[Data_zatrudnienia]]&gt;pDataRaportu,0,ROUND(YEARFRAC(tblKadry[[#This Row],[Data_zatrudnienia]],IF(tblKadry[[#This Row],[Data_zwolnienia]]="",pDataRaportu,tblKadry[[#This Row],[Data_zwolnienia]])),1))</f>
        <v>7.7</v>
      </c>
      <c r="R186" s="19">
        <f>tblKadry[[#This Row],[Brutto_mies]]*(1+pNarzut)</f>
        <v>5672.07</v>
      </c>
      <c r="S186" s="19">
        <f>_xlfn.XLOOKUP(tblKadry[[#This Row],[Grupa]],tblWidelki[Grupa],tblWidelki[Środek],"")</f>
        <v>5303</v>
      </c>
      <c r="T186" s="18">
        <f>IF(tblKadry[[#This Row],[Stawka_pełny_etat]]="","",tblKadry[[#This Row],[Stawka_pełny_etat]]/tblKadry[[#This Row],[Środek_widełek]])</f>
        <v>0.87686215349801999</v>
      </c>
      <c r="U186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86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Poniżej płacy minimalnej</v>
      </c>
    </row>
    <row r="187" spans="1:22" x14ac:dyDescent="0.3">
      <c r="A187" s="1" t="s">
        <v>123</v>
      </c>
      <c r="B187" s="1" t="s">
        <v>40</v>
      </c>
      <c r="C187" s="1" t="s">
        <v>47</v>
      </c>
      <c r="D187" s="1" t="s">
        <v>73</v>
      </c>
      <c r="E187" s="1" t="s">
        <v>26</v>
      </c>
      <c r="F187" s="1" t="s">
        <v>67</v>
      </c>
      <c r="G187" s="17">
        <v>45348</v>
      </c>
      <c r="H187" s="1" t="s">
        <v>61</v>
      </c>
      <c r="I187" s="18">
        <v>0.5</v>
      </c>
      <c r="J187" s="19">
        <v>2300</v>
      </c>
      <c r="K187" s="19">
        <v>0</v>
      </c>
      <c r="L187" s="1" t="s">
        <v>62</v>
      </c>
      <c r="M187" s="17"/>
      <c r="N187" s="19">
        <f>tblKadry[[#This Row],[Wynagrodzenie_zasadnicze]]+tblKadry[[#This Row],[Dodatek_funkcyjny]]</f>
        <v>2300</v>
      </c>
      <c r="O187" s="19">
        <f>IF(OR(tblKadry[[#This Row],[Wynagrodzenie_zasadnicze]]="",tblKadry[[#This Row],[Etat]]=0),"",tblKadry[[#This Row],[Wynagrodzenie_zasadnicze]]/tblKadry[[#This Row],[Etat]])</f>
        <v>4600</v>
      </c>
      <c r="P187" s="21">
        <f>IF(AND(tblKadry[[#This Row],[Status]]="Aktywny",tblKadry[[#This Row],[Data_zatrudnienia]]&lt;=pDataRaportu),1,0)</f>
        <v>1</v>
      </c>
      <c r="Q187" s="20">
        <f>IF(tblKadry[[#This Row],[Data_zatrudnienia]]&gt;pDataRaportu,0,ROUND(YEARFRAC(tblKadry[[#This Row],[Data_zatrudnienia]],IF(tblKadry[[#This Row],[Data_zwolnienia]]="",pDataRaportu,tblKadry[[#This Row],[Data_zwolnienia]])),1))</f>
        <v>2.6</v>
      </c>
      <c r="R187" s="19">
        <f>tblKadry[[#This Row],[Brutto_mies]]*(1+pNarzut)</f>
        <v>2805.54</v>
      </c>
      <c r="S187" s="19">
        <f>_xlfn.XLOOKUP(tblKadry[[#This Row],[Grupa]],tblWidelki[Grupa],tblWidelki[Środek],"")</f>
        <v>6500</v>
      </c>
      <c r="T187" s="18">
        <f>IF(tblKadry[[#This Row],[Stawka_pełny_etat]]="","",tblKadry[[#This Row],[Stawka_pełny_etat]]/tblKadry[[#This Row],[Środek_widełek]])</f>
        <v>0.70769230769230773</v>
      </c>
      <c r="U187" s="1" t="str">
        <f>IF(tblKadry[[#This Row],[Stawka_pełny_etat]]="","",IF(tblKadry[[#This Row],[Stawka_pełny_etat]]&lt;_xlfn.XLOOKUP(tblKadry[[#This Row],[Grupa]],tblWidelki[Grupa],tblWidelki[Min]),"Poniżej",IF(tblKadry[[#This Row],[Stawka_pełny_etat]]&gt;_xlfn.XLOOKUP(tblKadry[[#This Row],[Grupa]],tblWidelki[Grupa],tblWidelki[Max]),"Powyżej","W widełkach")))</f>
        <v>Poniżej</v>
      </c>
      <c r="V187" s="24" t="str">
        <f>_xlfn.TEXTJOIN("; ",TRUE,IF(COUNTIF(tblKadry[ID_Pracownika],tblKadry[[#This Row],[ID_Pracownika]])&gt;1,"Duplikat ID",""),IF(tblKadry[[#This Row],[Dział]]="","Brak działu",""),IF(tblKadry[[#This Row],[Wynagrodzenie_zasadnicze]]="","Brak wynagrodzenia",""),IF(AND(tblKadry[[#This Row],[Wynagrodzenie_zasadnicze]]&lt;&gt;"",tblKadry[[#This Row],[Brutto_mies]]&lt;pPlacaMin*tblKadry[[#This Row],[Etat]]),"Poniżej płacy minimalnej",""),IF(OR(tblKadry[[#This Row],[Etat]]&lt;=0,tblKadry[[#This Row],[Etat]]&gt;1),"Nieprawidłowy etat",""),IF(tblKadry[[#This Row],[Data_zatrudnienia]]&gt;pDataRaportu,"Data zatrudnienia w przyszłości",""),IF(AND(tblKadry[[#This Row],[Status]]="Zwolniony",tblKadry[[#This Row],[Data_zwolnienia]]=""),"Brak daty zwolnienia",""),IF(AND(tblKadry[[#This Row],[Status]]="Aktywny",tblKadry[[#This Row],[Data_zwolnienia]]&lt;&gt;""),"Aktywny z datą zwolnienia",""),IF(AND(tblKadry[[#This Row],[Status]]="Aktywny",tblKadry[[#This Row],[Typ_umowy]]="Na czas określony",tblKadry[[#This Row],[Staż_lat]]&gt;2.75),"Umowa terminowa &gt; 33 mies. (art. 25¹ KP)",""),IF(AND(tblKadry[[#This Row],[Status]]="Aktywny",tblKadry[[#This Row],[Typ_umowy]]="Na okres próbny",tblKadry[[#This Row],[Staż_lat]]&gt;0.25),"Okres próbny &gt; 3 mies. (art. 25 KP)",""))</f>
        <v>Poniżej płacy minimalnej</v>
      </c>
    </row>
  </sheetData>
  <conditionalFormatting sqref="A4:V187">
    <cfRule type="expression" dxfId="14" priority="1">
      <formula>$V4&lt;&gt;""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2E30-9618-494B-AE31-A83FF3B06F42}">
  <sheetPr>
    <tabColor rgb="FFC00000"/>
  </sheetPr>
  <dimension ref="A1:Z60"/>
  <sheetViews>
    <sheetView showGridLines="0" workbookViewId="0">
      <selection activeCell="D30" sqref="D30"/>
    </sheetView>
  </sheetViews>
  <sheetFormatPr defaultRowHeight="14.4" x14ac:dyDescent="0.3"/>
  <cols>
    <col min="1" max="1" width="42.5546875" style="1" customWidth="1"/>
    <col min="2" max="2" width="61.109375" style="1" customWidth="1"/>
    <col min="3" max="3" width="22.21875" style="1" customWidth="1"/>
    <col min="4" max="4" width="35.21875" style="1" customWidth="1"/>
    <col min="5" max="6" width="16.6640625" style="1" customWidth="1"/>
    <col min="7" max="7" width="51.88671875" style="1" customWidth="1"/>
    <col min="8" max="26" width="8.88671875" style="1"/>
  </cols>
  <sheetData>
    <row r="1" spans="1:4" ht="21" x14ac:dyDescent="0.4">
      <c r="A1" s="2" t="s">
        <v>274</v>
      </c>
    </row>
    <row r="2" spans="1:4" x14ac:dyDescent="0.3">
      <c r="A2" s="3" t="s">
        <v>275</v>
      </c>
    </row>
    <row r="4" spans="1:4" x14ac:dyDescent="0.3">
      <c r="A4" s="4" t="s">
        <v>276</v>
      </c>
      <c r="B4" s="4" t="s">
        <v>277</v>
      </c>
      <c r="C4" s="4" t="s">
        <v>278</v>
      </c>
      <c r="D4" s="4" t="s">
        <v>56</v>
      </c>
    </row>
    <row r="5" spans="1:4" x14ac:dyDescent="0.3">
      <c r="A5" s="25" t="s">
        <v>279</v>
      </c>
      <c r="B5" s="25" t="s">
        <v>280</v>
      </c>
      <c r="C5" s="27">
        <f>COUNTIF(tblKadry[Uwagi_QC],"*"&amp;A5&amp;"*")</f>
        <v>2</v>
      </c>
      <c r="D5" s="25" t="str">
        <f>IF(C5=0,"OK","Do weryfikacji")</f>
        <v>Do weryfikacji</v>
      </c>
    </row>
    <row r="6" spans="1:4" x14ac:dyDescent="0.3">
      <c r="A6" s="26" t="s">
        <v>281</v>
      </c>
      <c r="B6" s="26" t="s">
        <v>282</v>
      </c>
      <c r="C6" s="28">
        <f>COUNTIF(tblKadry[Uwagi_QC],"*"&amp;A6&amp;"*")</f>
        <v>1</v>
      </c>
      <c r="D6" s="26" t="str">
        <f>IF(C6=0,"OK","Do weryfikacji")</f>
        <v>Do weryfikacji</v>
      </c>
    </row>
    <row r="7" spans="1:4" x14ac:dyDescent="0.3">
      <c r="A7" s="26" t="s">
        <v>283</v>
      </c>
      <c r="B7" s="26" t="s">
        <v>284</v>
      </c>
      <c r="C7" s="28">
        <f>COUNTIF(tblKadry[Uwagi_QC],"*"&amp;A7&amp;"*")</f>
        <v>1</v>
      </c>
      <c r="D7" s="26" t="str">
        <f>IF(C7=0,"OK","Do weryfikacji")</f>
        <v>Do weryfikacji</v>
      </c>
    </row>
    <row r="8" spans="1:4" x14ac:dyDescent="0.3">
      <c r="A8" s="26" t="s">
        <v>285</v>
      </c>
      <c r="B8" s="26" t="s">
        <v>286</v>
      </c>
      <c r="C8" s="28">
        <f>COUNTIF(tblKadry[Uwagi_QC],"*"&amp;A8&amp;"*")</f>
        <v>2</v>
      </c>
      <c r="D8" s="26" t="str">
        <f>IF(C8=0,"OK","Do weryfikacji")</f>
        <v>Do weryfikacji</v>
      </c>
    </row>
    <row r="9" spans="1:4" x14ac:dyDescent="0.3">
      <c r="A9" s="26" t="s">
        <v>287</v>
      </c>
      <c r="B9" s="26" t="s">
        <v>288</v>
      </c>
      <c r="C9" s="28">
        <f>COUNTIF(tblKadry[Uwagi_QC],"*"&amp;A9&amp;"*")</f>
        <v>1</v>
      </c>
      <c r="D9" s="26" t="str">
        <f>IF(C9=0,"OK","Do weryfikacji")</f>
        <v>Do weryfikacji</v>
      </c>
    </row>
    <row r="10" spans="1:4" x14ac:dyDescent="0.3">
      <c r="A10" s="26" t="s">
        <v>289</v>
      </c>
      <c r="B10" s="26" t="s">
        <v>290</v>
      </c>
      <c r="C10" s="28">
        <f>COUNTIF(tblKadry[Uwagi_QC],"*"&amp;A10&amp;"*")</f>
        <v>1</v>
      </c>
      <c r="D10" s="26" t="str">
        <f>IF(C10=0,"OK","Do weryfikacji")</f>
        <v>Do weryfikacji</v>
      </c>
    </row>
    <row r="11" spans="1:4" x14ac:dyDescent="0.3">
      <c r="A11" s="26" t="s">
        <v>291</v>
      </c>
      <c r="B11" s="26" t="s">
        <v>292</v>
      </c>
      <c r="C11" s="28">
        <f>COUNTIF(tblKadry[Uwagi_QC],"*"&amp;A11&amp;"*")</f>
        <v>1</v>
      </c>
      <c r="D11" s="26" t="str">
        <f>IF(C11=0,"OK","Do weryfikacji")</f>
        <v>Do weryfikacji</v>
      </c>
    </row>
    <row r="12" spans="1:4" x14ac:dyDescent="0.3">
      <c r="A12" s="26" t="s">
        <v>293</v>
      </c>
      <c r="B12" s="26" t="s">
        <v>294</v>
      </c>
      <c r="C12" s="28">
        <f>COUNTIF(tblKadry[Uwagi_QC],"*"&amp;A12&amp;"*")</f>
        <v>1</v>
      </c>
      <c r="D12" s="26" t="str">
        <f>IF(C12=0,"OK","Do weryfikacji")</f>
        <v>Do weryfikacji</v>
      </c>
    </row>
    <row r="13" spans="1:4" x14ac:dyDescent="0.3">
      <c r="A13" s="26" t="s">
        <v>295</v>
      </c>
      <c r="B13" s="26" t="s">
        <v>296</v>
      </c>
      <c r="C13" s="28">
        <f>COUNTIF(tblKadry[Uwagi_QC],"*"&amp;A13&amp;"*")</f>
        <v>2</v>
      </c>
      <c r="D13" s="26" t="str">
        <f>IF(C13=0,"OK","Do weryfikacji")</f>
        <v>Do weryfikacji</v>
      </c>
    </row>
    <row r="14" spans="1:4" x14ac:dyDescent="0.3">
      <c r="A14" s="26" t="s">
        <v>297</v>
      </c>
      <c r="B14" s="26" t="s">
        <v>298</v>
      </c>
      <c r="C14" s="28">
        <f>COUNTIF(tblKadry[Uwagi_QC],"*"&amp;A14&amp;"*")</f>
        <v>1</v>
      </c>
      <c r="D14" s="26" t="str">
        <f>IF(C14=0,"OK","Do weryfikacji")</f>
        <v>Do weryfikacji</v>
      </c>
    </row>
    <row r="15" spans="1:4" x14ac:dyDescent="0.3">
      <c r="C15" s="29"/>
    </row>
    <row r="16" spans="1:4" x14ac:dyDescent="0.3">
      <c r="A16" s="8" t="s">
        <v>299</v>
      </c>
      <c r="B16" s="8"/>
      <c r="C16" s="30">
        <f>COUNTIF(tblKadry[Uwagi_QC],"?*")</f>
        <v>13</v>
      </c>
    </row>
    <row r="17" spans="1:7" x14ac:dyDescent="0.3">
      <c r="A17" s="8" t="s">
        <v>300</v>
      </c>
      <c r="B17" s="8"/>
      <c r="C17" s="30">
        <f>ROWS(tblKadry[ID_Pracownika])</f>
        <v>184</v>
      </c>
    </row>
    <row r="18" spans="1:7" x14ac:dyDescent="0.3">
      <c r="A18" s="8" t="s">
        <v>301</v>
      </c>
      <c r="B18" s="8"/>
      <c r="C18" s="31">
        <f>1-C16/C17</f>
        <v>0.92934782608695654</v>
      </c>
    </row>
    <row r="21" spans="1:7" x14ac:dyDescent="0.3">
      <c r="A21" s="12" t="s">
        <v>302</v>
      </c>
    </row>
    <row r="22" spans="1:7" x14ac:dyDescent="0.3">
      <c r="A22" s="4" t="s">
        <v>303</v>
      </c>
      <c r="B22" s="4" t="s">
        <v>37</v>
      </c>
      <c r="C22" s="4" t="s">
        <v>42</v>
      </c>
      <c r="D22" s="4" t="s">
        <v>49</v>
      </c>
      <c r="E22" s="4" t="s">
        <v>304</v>
      </c>
      <c r="F22" s="4" t="s">
        <v>56</v>
      </c>
      <c r="G22" s="4" t="s">
        <v>305</v>
      </c>
    </row>
    <row r="23" spans="1:7" x14ac:dyDescent="0.3">
      <c r="A23" s="1" t="str" cm="1">
        <f t="array" ref="A23:G35">_xlfn._xlws.FILTER(_xlfn.CHOOSECOLS(tblKadry[],1,2,3,4,10,12,22),tblKadry[Uwagi_QC]&lt;&gt;"","Brak uwag")</f>
        <v>P1112</v>
      </c>
      <c r="B23" s="1" t="str">
        <v>Kraków</v>
      </c>
      <c r="C23" s="1" t="str">
        <v>Kardiologia</v>
      </c>
      <c r="D23" s="1" t="str">
        <v>Pielęgniarka / pielęgniarz</v>
      </c>
      <c r="E23" s="19">
        <v>0</v>
      </c>
      <c r="F23" s="1" t="str">
        <v>Aktywny</v>
      </c>
      <c r="G23" s="1" t="str">
        <v>Brak wynagrodzenia</v>
      </c>
    </row>
    <row r="24" spans="1:7" x14ac:dyDescent="0.3">
      <c r="A24" s="1" t="str">
        <v>P1118</v>
      </c>
      <c r="B24" s="1" t="str">
        <v>Katowice</v>
      </c>
      <c r="C24" s="1" t="str">
        <v>Kardiochirurgia</v>
      </c>
      <c r="D24" s="1" t="str">
        <v>Lekarz specjalista</v>
      </c>
      <c r="E24" s="19">
        <v>19770</v>
      </c>
      <c r="F24" s="1" t="str">
        <v>Aktywny</v>
      </c>
      <c r="G24" s="1" t="str">
        <v>Okres próbny &gt; 3 mies. (art. 25 KP)</v>
      </c>
    </row>
    <row r="25" spans="1:7" x14ac:dyDescent="0.3">
      <c r="A25" s="1" t="str">
        <v>P1095</v>
      </c>
      <c r="B25" s="1" t="str">
        <v>Katowice</v>
      </c>
      <c r="C25" s="1" t="str">
        <v>Kardiologia</v>
      </c>
      <c r="D25" s="1" t="str">
        <v>Koordynator pielęgniarek</v>
      </c>
      <c r="E25" s="19">
        <v>10110</v>
      </c>
      <c r="F25" s="1" t="str">
        <v>Zwolniony</v>
      </c>
      <c r="G25" s="1" t="str">
        <v>Brak daty zwolnienia</v>
      </c>
    </row>
    <row r="26" spans="1:7" x14ac:dyDescent="0.3">
      <c r="A26" s="1" t="str">
        <v>P1012</v>
      </c>
      <c r="B26" s="1" t="str">
        <v>Bielsko-Biała</v>
      </c>
      <c r="C26" s="1">
        <v>0</v>
      </c>
      <c r="D26" s="1" t="str">
        <v>Diagnosta laboratoryjny</v>
      </c>
      <c r="E26" s="19">
        <v>8640</v>
      </c>
      <c r="F26" s="1" t="str">
        <v>Aktywny</v>
      </c>
      <c r="G26" s="1" t="str">
        <v>Brak działu</v>
      </c>
    </row>
    <row r="27" spans="1:7" x14ac:dyDescent="0.3">
      <c r="A27" s="1" t="str">
        <v>P1082</v>
      </c>
      <c r="B27" s="1" t="str">
        <v>Bielsko-Biała</v>
      </c>
      <c r="C27" s="1" t="str">
        <v>Kardiologia</v>
      </c>
      <c r="D27" s="1" t="str">
        <v>Koordynator pielęgniarek</v>
      </c>
      <c r="E27" s="19">
        <v>8470</v>
      </c>
      <c r="F27" s="1" t="str">
        <v>Aktywny</v>
      </c>
      <c r="G27" s="1" t="str">
        <v>Data zatrudnienia w przyszłości</v>
      </c>
    </row>
    <row r="28" spans="1:7" x14ac:dyDescent="0.3">
      <c r="A28" s="1" t="str">
        <v>P1062</v>
      </c>
      <c r="B28" s="1" t="str">
        <v>Bielsko-Biała</v>
      </c>
      <c r="C28" s="1" t="str">
        <v>Chirurgia naczyniowa</v>
      </c>
      <c r="D28" s="1" t="str">
        <v>Pielęgniarka / pielęgniarz</v>
      </c>
      <c r="E28" s="19">
        <v>7850</v>
      </c>
      <c r="F28" s="1" t="str">
        <v>Aktywny</v>
      </c>
      <c r="G28" s="1" t="str">
        <v>Nieprawidłowy etat</v>
      </c>
    </row>
    <row r="29" spans="1:7" x14ac:dyDescent="0.3">
      <c r="A29" s="1" t="str">
        <v>P1051</v>
      </c>
      <c r="B29" s="1" t="str">
        <v>Bielsko-Biała</v>
      </c>
      <c r="C29" s="1" t="str">
        <v>Kardiologia</v>
      </c>
      <c r="D29" s="1" t="str">
        <v>Opiekun medyczny</v>
      </c>
      <c r="E29" s="19">
        <v>5410</v>
      </c>
      <c r="F29" s="1" t="str">
        <v>Zwolniony</v>
      </c>
      <c r="G29" s="1" t="str">
        <v>Duplikat ID</v>
      </c>
    </row>
    <row r="30" spans="1:7" x14ac:dyDescent="0.3">
      <c r="A30" s="1" t="str">
        <v>P1051</v>
      </c>
      <c r="B30" s="1" t="str">
        <v>Bielsko-Biała</v>
      </c>
      <c r="C30" s="1" t="str">
        <v>Kardiologia</v>
      </c>
      <c r="D30" s="1" t="str">
        <v>Opiekun medyczny</v>
      </c>
      <c r="E30" s="19">
        <v>5410</v>
      </c>
      <c r="F30" s="1" t="str">
        <v>Zwolniony</v>
      </c>
      <c r="G30" s="1" t="str">
        <v>Duplikat ID</v>
      </c>
    </row>
    <row r="31" spans="1:7" x14ac:dyDescent="0.3">
      <c r="A31" s="1" t="str">
        <v>P1047</v>
      </c>
      <c r="B31" s="1" t="str">
        <v>Katowice</v>
      </c>
      <c r="C31" s="1" t="str">
        <v>Administracja</v>
      </c>
      <c r="D31" s="1" t="str">
        <v>Rejestratorka / rejestrator medyczny</v>
      </c>
      <c r="E31" s="19">
        <v>5320</v>
      </c>
      <c r="F31" s="1" t="str">
        <v>Aktywny</v>
      </c>
      <c r="G31" s="1" t="str">
        <v>Umowa terminowa &gt; 33 mies. (art. 25¹ KP)</v>
      </c>
    </row>
    <row r="32" spans="1:7" x14ac:dyDescent="0.3">
      <c r="A32" s="1" t="str">
        <v>P1133</v>
      </c>
      <c r="B32" s="1" t="str">
        <v>Katowice</v>
      </c>
      <c r="C32" s="1" t="str">
        <v>Laboratorium</v>
      </c>
      <c r="D32" s="1" t="str">
        <v>Technik analityki medycznej</v>
      </c>
      <c r="E32" s="19">
        <v>5140</v>
      </c>
      <c r="F32" s="1" t="str">
        <v>Aktywny</v>
      </c>
      <c r="G32" s="1" t="str">
        <v>Aktywny z datą zwolnienia</v>
      </c>
    </row>
    <row r="33" spans="1:7" x14ac:dyDescent="0.3">
      <c r="A33" s="1" t="str">
        <v>P1160</v>
      </c>
      <c r="B33" s="1" t="str">
        <v>Ustroń</v>
      </c>
      <c r="C33" s="1" t="str">
        <v>Administracja</v>
      </c>
      <c r="D33" s="1" t="str">
        <v>Rejestratorka / rejestrator medyczny</v>
      </c>
      <c r="E33" s="19">
        <v>5030</v>
      </c>
      <c r="F33" s="1" t="str">
        <v>Aktywny</v>
      </c>
      <c r="G33" s="1" t="str">
        <v>Umowa terminowa &gt; 33 mies. (art. 25¹ KP)</v>
      </c>
    </row>
    <row r="34" spans="1:7" x14ac:dyDescent="0.3">
      <c r="A34" s="1" t="str">
        <v>P1032</v>
      </c>
      <c r="B34" s="1" t="str">
        <v>Kraków</v>
      </c>
      <c r="C34" s="1" t="str">
        <v>Administracja</v>
      </c>
      <c r="D34" s="1" t="str">
        <v>Rejestratorka / rejestrator medyczny</v>
      </c>
      <c r="E34" s="19">
        <v>4650</v>
      </c>
      <c r="F34" s="1" t="str">
        <v>Aktywny</v>
      </c>
      <c r="G34" s="1" t="str">
        <v>Poniżej płacy minimalnej</v>
      </c>
    </row>
    <row r="35" spans="1:7" x14ac:dyDescent="0.3">
      <c r="A35" s="1" t="str">
        <v>P1045</v>
      </c>
      <c r="B35" s="1" t="str">
        <v>Ustroń</v>
      </c>
      <c r="C35" s="1" t="str">
        <v>Administracja</v>
      </c>
      <c r="D35" s="1" t="str">
        <v>Referent</v>
      </c>
      <c r="E35" s="19">
        <v>2300</v>
      </c>
      <c r="F35" s="1" t="str">
        <v>Aktywny</v>
      </c>
      <c r="G35" s="1" t="str">
        <v>Poniżej płacy minimalnej</v>
      </c>
    </row>
    <row r="36" spans="1:7" x14ac:dyDescent="0.3">
      <c r="E36" s="19"/>
    </row>
    <row r="37" spans="1:7" x14ac:dyDescent="0.3">
      <c r="E37" s="19"/>
    </row>
    <row r="38" spans="1:7" x14ac:dyDescent="0.3">
      <c r="E38" s="19"/>
    </row>
    <row r="39" spans="1:7" x14ac:dyDescent="0.3">
      <c r="E39" s="19"/>
    </row>
    <row r="40" spans="1:7" x14ac:dyDescent="0.3">
      <c r="E40" s="19"/>
    </row>
    <row r="41" spans="1:7" x14ac:dyDescent="0.3">
      <c r="E41" s="19"/>
    </row>
    <row r="42" spans="1:7" x14ac:dyDescent="0.3">
      <c r="E42" s="19"/>
    </row>
    <row r="43" spans="1:7" x14ac:dyDescent="0.3">
      <c r="E43" s="19"/>
    </row>
    <row r="44" spans="1:7" x14ac:dyDescent="0.3">
      <c r="E44" s="19"/>
    </row>
    <row r="45" spans="1:7" x14ac:dyDescent="0.3">
      <c r="E45" s="19"/>
    </row>
    <row r="46" spans="1:7" x14ac:dyDescent="0.3">
      <c r="E46" s="19"/>
    </row>
    <row r="47" spans="1:7" x14ac:dyDescent="0.3">
      <c r="E47" s="19"/>
    </row>
    <row r="48" spans="1:7" x14ac:dyDescent="0.3">
      <c r="E48" s="19"/>
    </row>
    <row r="49" spans="5:5" x14ac:dyDescent="0.3">
      <c r="E49" s="19"/>
    </row>
    <row r="50" spans="5:5" x14ac:dyDescent="0.3">
      <c r="E50" s="19"/>
    </row>
    <row r="51" spans="5:5" x14ac:dyDescent="0.3">
      <c r="E51" s="19"/>
    </row>
    <row r="52" spans="5:5" x14ac:dyDescent="0.3">
      <c r="E52" s="19"/>
    </row>
    <row r="53" spans="5:5" x14ac:dyDescent="0.3">
      <c r="E53" s="19"/>
    </row>
    <row r="54" spans="5:5" x14ac:dyDescent="0.3">
      <c r="E54" s="19"/>
    </row>
    <row r="55" spans="5:5" x14ac:dyDescent="0.3">
      <c r="E55" s="19"/>
    </row>
    <row r="56" spans="5:5" x14ac:dyDescent="0.3">
      <c r="E56" s="19"/>
    </row>
    <row r="57" spans="5:5" x14ac:dyDescent="0.3">
      <c r="E57" s="19"/>
    </row>
    <row r="58" spans="5:5" x14ac:dyDescent="0.3">
      <c r="E58" s="19"/>
    </row>
    <row r="59" spans="5:5" x14ac:dyDescent="0.3">
      <c r="E59" s="19"/>
    </row>
    <row r="60" spans="5:5" x14ac:dyDescent="0.3">
      <c r="E60" s="19"/>
    </row>
  </sheetData>
  <conditionalFormatting sqref="D5:D14">
    <cfRule type="containsText" dxfId="12" priority="1" operator="containsText" text="Do weryfikacji">
      <formula>NOT(ISERROR(SEARCH("Do weryfikacji",D5)))</formula>
    </cfRule>
  </conditionalFormatting>
  <conditionalFormatting sqref="D5:D14">
    <cfRule type="containsText" dxfId="11" priority="2" operator="containsText" text="OK">
      <formula>NOT(ISERROR(SEARCH("OK",D5)))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05BC-6CDD-4942-946E-7B1786780C8D}">
  <sheetPr>
    <tabColor rgb="FF2E75B6"/>
  </sheetPr>
  <dimension ref="A1:Z33"/>
  <sheetViews>
    <sheetView showGridLines="0" workbookViewId="0">
      <selection activeCell="A21" sqref="A21"/>
    </sheetView>
  </sheetViews>
  <sheetFormatPr defaultRowHeight="14.4" x14ac:dyDescent="0.3"/>
  <cols>
    <col min="1" max="1" width="46.33203125" style="1" customWidth="1"/>
    <col min="2" max="9" width="19.44140625" style="1" customWidth="1"/>
    <col min="10" max="26" width="8.88671875" style="1"/>
  </cols>
  <sheetData>
    <row r="1" spans="1:9" ht="21" x14ac:dyDescent="0.4">
      <c r="A1" s="2" t="s">
        <v>306</v>
      </c>
    </row>
    <row r="2" spans="1:9" x14ac:dyDescent="0.3">
      <c r="A2" s="3" t="str">
        <f>"Stan na dzień "&amp;YEAR(pDataRaportu)&amp;"-"&amp;TEXT(MONTH(pDataRaportu),"00")&amp;"-"&amp;TEXT(DAY(pDataRaportu),"00")&amp;" | koszt pracodawcy = brutto × (1 + narzut "&amp;FIXED(pNarzut*100,2)&amp;"%)"</f>
        <v>Stan na dzień 2026-09-30 | koszt pracodawcy = brutto × (1 + narzut 21,98%)</v>
      </c>
    </row>
    <row r="4" spans="1:9" x14ac:dyDescent="0.3">
      <c r="A4" s="12" t="s">
        <v>307</v>
      </c>
    </row>
    <row r="5" spans="1:9" ht="30" customHeight="1" x14ac:dyDescent="0.3">
      <c r="A5" s="33" t="s">
        <v>37</v>
      </c>
      <c r="B5" s="33" t="s">
        <v>308</v>
      </c>
      <c r="C5" s="33" t="s">
        <v>309</v>
      </c>
      <c r="D5" s="33" t="s">
        <v>310</v>
      </c>
      <c r="E5" s="33" t="s">
        <v>311</v>
      </c>
      <c r="F5" s="33" t="s">
        <v>312</v>
      </c>
      <c r="G5" s="33" t="s">
        <v>313</v>
      </c>
      <c r="H5" s="33" t="s">
        <v>314</v>
      </c>
      <c r="I5" s="33" t="s">
        <v>315</v>
      </c>
    </row>
    <row r="6" spans="1:9" x14ac:dyDescent="0.3">
      <c r="A6" s="40" t="str">
        <f>Parametry!A31</f>
        <v>Katowice</v>
      </c>
      <c r="B6" s="21">
        <f>SUMIFS(tblKadry[Aktywny_na_dzień],tblKadry[Placówka],$A6)</f>
        <v>56</v>
      </c>
      <c r="C6" s="18">
        <f>SUMIFS(tblKadry[Etat],tblKadry[Placówka],$A6,tblKadry[Aktywny_na_dzień],1)</f>
        <v>51.75</v>
      </c>
      <c r="D6" s="19">
        <f>SUMIFS(tblKadry[Brutto_mies],tblKadry[Placówka],$A6,tblKadry[Aktywny_na_dzień],1)</f>
        <v>557065</v>
      </c>
      <c r="E6" s="19">
        <f>F6-D6</f>
        <v>122442.8870000001</v>
      </c>
      <c r="F6" s="19">
        <f>SUMIFS(tblKadry[Koszt_pracodawcy_mies],tblKadry[Placówka],$A6,tblKadry[Aktywny_na_dzień],1)</f>
        <v>679507.8870000001</v>
      </c>
      <c r="G6" s="19">
        <f>F6*12</f>
        <v>8154094.6440000013</v>
      </c>
      <c r="H6" s="19">
        <f>IFERROR(F6/C6,0)</f>
        <v>13130.5871884058</v>
      </c>
      <c r="I6" s="14">
        <f>IFERROR(F6/$F$10,0)</f>
        <v>0.34154415123306359</v>
      </c>
    </row>
    <row r="7" spans="1:9" x14ac:dyDescent="0.3">
      <c r="A7" s="40" t="str">
        <f>Parametry!A32</f>
        <v>Kraków</v>
      </c>
      <c r="B7" s="21">
        <f>SUMIFS(tblKadry[Aktywny_na_dzień],tblKadry[Placówka],$A7)</f>
        <v>48</v>
      </c>
      <c r="C7" s="18">
        <f>SUMIFS(tblKadry[Etat],tblKadry[Placówka],$A7,tblKadry[Aktywny_na_dzień],1)</f>
        <v>46.5</v>
      </c>
      <c r="D7" s="19">
        <f>SUMIFS(tblKadry[Brutto_mies],tblKadry[Placówka],$A7,tblKadry[Aktywny_na_dzień],1)</f>
        <v>463654</v>
      </c>
      <c r="E7" s="19">
        <f>F7-D7</f>
        <v>101911.1492000001</v>
      </c>
      <c r="F7" s="19">
        <f>SUMIFS(tblKadry[Koszt_pracodawcy_mies],tblKadry[Placówka],$A7,tblKadry[Aktywny_na_dzień],1)</f>
        <v>565565.1492000001</v>
      </c>
      <c r="G7" s="19">
        <f>F7*12</f>
        <v>6786781.7904000012</v>
      </c>
      <c r="H7" s="19">
        <f>IFERROR(F7/C7,0)</f>
        <v>12162.691380645163</v>
      </c>
      <c r="I7" s="14">
        <f>IFERROR(F7/$F$10,0)</f>
        <v>0.28427259277788924</v>
      </c>
    </row>
    <row r="8" spans="1:9" x14ac:dyDescent="0.3">
      <c r="A8" s="40" t="str">
        <f>Parametry!A33</f>
        <v>Ustroń</v>
      </c>
      <c r="B8" s="21">
        <f>SUMIFS(tblKadry[Aktywny_na_dzień],tblKadry[Placówka],$A8)</f>
        <v>26</v>
      </c>
      <c r="C8" s="18">
        <f>SUMIFS(tblKadry[Etat],tblKadry[Placówka],$A8,tblKadry[Aktywny_na_dzień],1)</f>
        <v>24.75</v>
      </c>
      <c r="D8" s="19">
        <f>SUMIFS(tblKadry[Brutto_mies],tblKadry[Placówka],$A8,tblKadry[Aktywny_na_dzień],1)</f>
        <v>252095</v>
      </c>
      <c r="E8" s="19">
        <f>F8-D8</f>
        <v>55410.480999999971</v>
      </c>
      <c r="F8" s="19">
        <f>SUMIFS(tblKadry[Koszt_pracodawcy_mies],tblKadry[Placówka],$A8,tblKadry[Aktywny_na_dzień],1)</f>
        <v>307505.48099999997</v>
      </c>
      <c r="G8" s="19">
        <f>F8*12</f>
        <v>3690065.7719999999</v>
      </c>
      <c r="H8" s="19">
        <f>IFERROR(F8/C8,0)</f>
        <v>12424.463878787878</v>
      </c>
      <c r="I8" s="14">
        <f>IFERROR(F8/$F$10,0)</f>
        <v>0.15456288369418136</v>
      </c>
    </row>
    <row r="9" spans="1:9" x14ac:dyDescent="0.3">
      <c r="A9" s="40" t="str">
        <f>Parametry!A34</f>
        <v>Bielsko-Biała</v>
      </c>
      <c r="B9" s="21">
        <f>SUMIFS(tblKadry[Aktywny_na_dzień],tblKadry[Placówka],$A9)</f>
        <v>31</v>
      </c>
      <c r="C9" s="18">
        <f>SUMIFS(tblKadry[Etat],tblKadry[Placówka],$A9,tblKadry[Aktywny_na_dzień],1)</f>
        <v>30.75</v>
      </c>
      <c r="D9" s="19">
        <f>SUMIFS(tblKadry[Brutto_mies],tblKadry[Placówka],$A9,tblKadry[Aktywny_na_dzień],1)</f>
        <v>358205</v>
      </c>
      <c r="E9" s="19">
        <f>F9-D9</f>
        <v>78733.458999999915</v>
      </c>
      <c r="F9" s="19">
        <f>SUMIFS(tblKadry[Koszt_pracodawcy_mies],tblKadry[Placówka],$A9,tblKadry[Aktywny_na_dzień],1)</f>
        <v>436938.45899999992</v>
      </c>
      <c r="G9" s="19">
        <f>F9*12</f>
        <v>5243261.5079999994</v>
      </c>
      <c r="H9" s="19">
        <f>IFERROR(F9/C9,0)</f>
        <v>14209.380780487802</v>
      </c>
      <c r="I9" s="14">
        <f>IFERROR(F9/$F$10,0)</f>
        <v>0.21962037229486595</v>
      </c>
    </row>
    <row r="10" spans="1:9" ht="15" thickBot="1" x14ac:dyDescent="0.35">
      <c r="A10" s="34" t="s">
        <v>316</v>
      </c>
      <c r="B10" s="36">
        <f>SUM(B6:B9)</f>
        <v>161</v>
      </c>
      <c r="C10" s="37">
        <f>SUM(C6:C9)</f>
        <v>153.75</v>
      </c>
      <c r="D10" s="38">
        <f>SUM(D6:D9)</f>
        <v>1631019</v>
      </c>
      <c r="E10" s="38">
        <f>SUM(E6:E9)</f>
        <v>358497.97620000009</v>
      </c>
      <c r="F10" s="38">
        <f>SUM(F6:F9)</f>
        <v>1989516.9761999999</v>
      </c>
      <c r="G10" s="38">
        <f>SUM(G6:G9)</f>
        <v>23874203.714400001</v>
      </c>
      <c r="H10" s="38">
        <f>IFERROR(F10/C10,0)</f>
        <v>12939.947812682927</v>
      </c>
      <c r="I10" s="39">
        <f>SUM(I6:I9)</f>
        <v>1</v>
      </c>
    </row>
    <row r="11" spans="1:9" ht="15" thickTop="1" x14ac:dyDescent="0.3"/>
    <row r="13" spans="1:9" x14ac:dyDescent="0.3">
      <c r="A13" s="12" t="s">
        <v>317</v>
      </c>
    </row>
    <row r="14" spans="1:9" x14ac:dyDescent="0.3">
      <c r="A14" s="33" t="s">
        <v>37</v>
      </c>
      <c r="B14" s="33" t="str">
        <f>Parametry!C31</f>
        <v>Kardiologia</v>
      </c>
      <c r="C14" s="33" t="str">
        <f>Parametry!C32</f>
        <v>Kardiochirurgia</v>
      </c>
      <c r="D14" s="33" t="str">
        <f>Parametry!C33</f>
        <v>Chirurgia naczyniowa</v>
      </c>
      <c r="E14" s="33" t="str">
        <f>Parametry!C34</f>
        <v>Laboratorium</v>
      </c>
      <c r="F14" s="33" t="str">
        <f>Parametry!C35</f>
        <v>Administracja</v>
      </c>
      <c r="G14" s="33" t="s">
        <v>318</v>
      </c>
      <c r="H14" s="33" t="s">
        <v>316</v>
      </c>
    </row>
    <row r="15" spans="1:9" x14ac:dyDescent="0.3">
      <c r="A15" s="40" t="str">
        <f>Parametry!A31</f>
        <v>Katowice</v>
      </c>
      <c r="B15" s="19">
        <f>SUMIFS(tblKadry[Koszt_pracodawcy_mies],tblKadry[Placówka],$A15,tblKadry[Dział],B$14,tblKadry[Aktywny_na_dzień],1)</f>
        <v>210012.96599999996</v>
      </c>
      <c r="C15" s="19">
        <f>SUMIFS(tblKadry[Koszt_pracodawcy_mies],tblKadry[Placówka],$A15,tblKadry[Dział],C$14,tblKadry[Aktywny_na_dzień],1)</f>
        <v>218990.69399999996</v>
      </c>
      <c r="D15" s="19">
        <f>SUMIFS(tblKadry[Koszt_pracodawcy_mies],tblKadry[Placówka],$A15,tblKadry[Dział],D$14,tblKadry[Aktywny_na_dzień],1)</f>
        <v>98712.315000000017</v>
      </c>
      <c r="E15" s="19">
        <f>SUMIFS(tblKadry[Koszt_pracodawcy_mies],tblKadry[Placówka],$A15,tblKadry[Dział],E$14,tblKadry[Aktywny_na_dzień],1)</f>
        <v>69888.441000000006</v>
      </c>
      <c r="F15" s="19">
        <f>SUMIFS(tblKadry[Koszt_pracodawcy_mies],tblKadry[Placówka],$A15,tblKadry[Dział],F$14,tblKadry[Aktywny_na_dzień],1)</f>
        <v>81903.471000000005</v>
      </c>
      <c r="G15" s="19">
        <f>H15-SUM(B15:F15)</f>
        <v>0</v>
      </c>
      <c r="H15" s="19">
        <f>SUMIFS(tblKadry[Koszt_pracodawcy_mies],tblKadry[Placówka],$A15,tblKadry[Aktywny_na_dzień],1)</f>
        <v>679507.8870000001</v>
      </c>
    </row>
    <row r="16" spans="1:9" x14ac:dyDescent="0.3">
      <c r="A16" s="40" t="str">
        <f>Parametry!A32</f>
        <v>Kraków</v>
      </c>
      <c r="B16" s="19">
        <f>SUMIFS(tblKadry[Koszt_pracodawcy_mies],tblKadry[Placówka],$A16,tblKadry[Dział],B$14,tblKadry[Aktywny_na_dzień],1)</f>
        <v>197714.94239999994</v>
      </c>
      <c r="C16" s="19">
        <f>SUMIFS(tblKadry[Koszt_pracodawcy_mies],tblKadry[Placówka],$A16,tblKadry[Dział],C$14,tblKadry[Aktywny_na_dzień],1)</f>
        <v>136763.976</v>
      </c>
      <c r="D16" s="19">
        <f>SUMIFS(tblKadry[Koszt_pracodawcy_mies],tblKadry[Placówka],$A16,tblKadry[Dział],D$14,tblKadry[Aktywny_na_dzień],1)</f>
        <v>112826.6208</v>
      </c>
      <c r="E16" s="19">
        <f>SUMIFS(tblKadry[Koszt_pracodawcy_mies],tblKadry[Placówka],$A16,tblKadry[Dział],E$14,tblKadry[Aktywny_na_dzień],1)</f>
        <v>49877.622000000003</v>
      </c>
      <c r="F16" s="19">
        <f>SUMIFS(tblKadry[Koszt_pracodawcy_mies],tblKadry[Placówka],$A16,tblKadry[Dział],F$14,tblKadry[Aktywny_na_dzień],1)</f>
        <v>68381.987999999998</v>
      </c>
      <c r="G16" s="19">
        <f>H16-SUM(B16:F16)</f>
        <v>0</v>
      </c>
      <c r="H16" s="19">
        <f>SUMIFS(tblKadry[Koszt_pracodawcy_mies],tblKadry[Placówka],$A16,tblKadry[Aktywny_na_dzień],1)</f>
        <v>565565.1492000001</v>
      </c>
    </row>
    <row r="17" spans="1:8" x14ac:dyDescent="0.3">
      <c r="A17" s="40" t="str">
        <f>Parametry!A33</f>
        <v>Ustroń</v>
      </c>
      <c r="B17" s="19">
        <f>SUMIFS(tblKadry[Koszt_pracodawcy_mies],tblKadry[Placówka],$A17,tblKadry[Dział],B$14,tblKadry[Aktywny_na_dzień],1)</f>
        <v>152853.13800000001</v>
      </c>
      <c r="C17" s="19">
        <f>SUMIFS(tblKadry[Koszt_pracodawcy_mies],tblKadry[Placówka],$A17,tblKadry[Dział],C$14,tblKadry[Aktywny_na_dzień],1)</f>
        <v>0</v>
      </c>
      <c r="D17" s="19">
        <f>SUMIFS(tblKadry[Koszt_pracodawcy_mies],tblKadry[Placówka],$A17,tblKadry[Dział],D$14,tblKadry[Aktywny_na_dzień],1)</f>
        <v>45278.975999999995</v>
      </c>
      <c r="E17" s="19">
        <f>SUMIFS(tblKadry[Koszt_pracodawcy_mies],tblKadry[Placówka],$A17,tblKadry[Dział],E$14,tblKadry[Aktywny_na_dzień],1)</f>
        <v>50713.184999999998</v>
      </c>
      <c r="F17" s="19">
        <f>SUMIFS(tblKadry[Koszt_pracodawcy_mies],tblKadry[Placówka],$A17,tblKadry[Dział],F$14,tblKadry[Aktywny_na_dzień],1)</f>
        <v>58660.182000000001</v>
      </c>
      <c r="G17" s="19">
        <f>H17-SUM(B17:F17)</f>
        <v>0</v>
      </c>
      <c r="H17" s="19">
        <f>SUMIFS(tblKadry[Koszt_pracodawcy_mies],tblKadry[Placówka],$A17,tblKadry[Aktywny_na_dzień],1)</f>
        <v>307505.48099999997</v>
      </c>
    </row>
    <row r="18" spans="1:8" x14ac:dyDescent="0.3">
      <c r="A18" s="40" t="str">
        <f>Parametry!A34</f>
        <v>Bielsko-Biała</v>
      </c>
      <c r="B18" s="19">
        <f>SUMIFS(tblKadry[Koszt_pracodawcy_mies],tblKadry[Placówka],$A18,tblKadry[Dział],B$14,tblKadry[Aktywny_na_dzień],1)</f>
        <v>152157.85200000001</v>
      </c>
      <c r="C18" s="19">
        <f>SUMIFS(tblKadry[Koszt_pracodawcy_mies],tblKadry[Placówka],$A18,tblKadry[Dział],C$14,tblKadry[Aktywny_na_dzień],1)</f>
        <v>91216.643999999986</v>
      </c>
      <c r="D18" s="19">
        <f>SUMIFS(tblKadry[Koszt_pracodawcy_mies],tblKadry[Placówka],$A18,tblKadry[Dział],D$14,tblKadry[Aktywny_na_dzień],1)</f>
        <v>108043.78499999997</v>
      </c>
      <c r="E18" s="19">
        <f>SUMIFS(tblKadry[Koszt_pracodawcy_mies],tblKadry[Placówka],$A18,tblKadry[Dział],E$14,tblKadry[Aktywny_na_dzień],1)</f>
        <v>24615.563999999998</v>
      </c>
      <c r="F18" s="19">
        <f>SUMIFS(tblKadry[Koszt_pracodawcy_mies],tblKadry[Placówka],$A18,tblKadry[Dział],F$14,tblKadry[Aktywny_na_dzień],1)</f>
        <v>50365.541999999994</v>
      </c>
      <c r="G18" s="19">
        <f>H18-SUM(B18:F18)</f>
        <v>10539.071999999927</v>
      </c>
      <c r="H18" s="19">
        <f>SUMIFS(tblKadry[Koszt_pracodawcy_mies],tblKadry[Placówka],$A18,tblKadry[Aktywny_na_dzień],1)</f>
        <v>436938.45899999992</v>
      </c>
    </row>
    <row r="19" spans="1:8" ht="15" thickBot="1" x14ac:dyDescent="0.35">
      <c r="A19" s="34" t="s">
        <v>316</v>
      </c>
      <c r="B19" s="38">
        <f>SUM(B15:B18)</f>
        <v>712738.89839999983</v>
      </c>
      <c r="C19" s="38">
        <f>SUM(C15:C18)</f>
        <v>446971.3139999999</v>
      </c>
      <c r="D19" s="38">
        <f>SUM(D15:D18)</f>
        <v>364861.69680000003</v>
      </c>
      <c r="E19" s="38">
        <f>SUM(E15:E18)</f>
        <v>195094.81200000003</v>
      </c>
      <c r="F19" s="38">
        <f>SUM(F15:F18)</f>
        <v>259311.18299999999</v>
      </c>
      <c r="G19" s="38">
        <f>SUM(G15:G18)</f>
        <v>10539.071999999927</v>
      </c>
      <c r="H19" s="38">
        <f>SUM(H15:H18)</f>
        <v>1989516.9761999999</v>
      </c>
    </row>
    <row r="20" spans="1:8" ht="15" thickTop="1" x14ac:dyDescent="0.3">
      <c r="A20" s="16" t="s">
        <v>319</v>
      </c>
      <c r="B20" s="42">
        <f>H19-F10</f>
        <v>0</v>
      </c>
    </row>
    <row r="21" spans="1:8" x14ac:dyDescent="0.3">
      <c r="A21" s="3" t="s">
        <v>327</v>
      </c>
    </row>
    <row r="23" spans="1:8" x14ac:dyDescent="0.3">
      <c r="A23" s="12" t="s">
        <v>320</v>
      </c>
    </row>
    <row r="24" spans="1:8" ht="27.6" x14ac:dyDescent="0.3">
      <c r="A24" s="33" t="s">
        <v>321</v>
      </c>
      <c r="B24" s="33" t="s">
        <v>8</v>
      </c>
      <c r="C24" s="33" t="s">
        <v>322</v>
      </c>
      <c r="D24" s="33" t="s">
        <v>323</v>
      </c>
    </row>
    <row r="25" spans="1:8" x14ac:dyDescent="0.3">
      <c r="A25" s="1" t="s">
        <v>324</v>
      </c>
      <c r="C25" s="19">
        <f>D10</f>
        <v>1631019</v>
      </c>
      <c r="D25" s="19">
        <f>C25*12</f>
        <v>19572228</v>
      </c>
    </row>
    <row r="26" spans="1:8" x14ac:dyDescent="0.3">
      <c r="A26" s="40" t="str">
        <f>Parametry!A10</f>
        <v>Ubezpieczenie emerytalne</v>
      </c>
      <c r="B26" s="41">
        <f>Parametry!B10</f>
        <v>9.7600000000000006E-2</v>
      </c>
      <c r="C26" s="19">
        <f>$C$25*B26</f>
        <v>159187.45440000002</v>
      </c>
      <c r="D26" s="19">
        <f>C26*12</f>
        <v>1910249.4528000001</v>
      </c>
    </row>
    <row r="27" spans="1:8" x14ac:dyDescent="0.3">
      <c r="A27" s="40" t="str">
        <f>Parametry!A11</f>
        <v>Ubezpieczenie rentowe</v>
      </c>
      <c r="B27" s="41">
        <f>Parametry!B11</f>
        <v>6.5000000000000002E-2</v>
      </c>
      <c r="C27" s="19">
        <f>$C$25*B27</f>
        <v>106016.235</v>
      </c>
      <c r="D27" s="19">
        <f>C27*12</f>
        <v>1272194.82</v>
      </c>
    </row>
    <row r="28" spans="1:8" x14ac:dyDescent="0.3">
      <c r="A28" s="40" t="str">
        <f>Parametry!A12</f>
        <v>Ubezpieczenie wypadkowe (stawka przyjęta)</v>
      </c>
      <c r="B28" s="41">
        <f>Parametry!B12</f>
        <v>1.67E-2</v>
      </c>
      <c r="C28" s="19">
        <f>$C$25*B28</f>
        <v>27238.0173</v>
      </c>
      <c r="D28" s="19">
        <f>C28*12</f>
        <v>326856.20759999997</v>
      </c>
    </row>
    <row r="29" spans="1:8" x14ac:dyDescent="0.3">
      <c r="A29" s="40" t="str">
        <f>Parametry!A13</f>
        <v>Fundusz Pracy</v>
      </c>
      <c r="B29" s="41">
        <f>Parametry!B13</f>
        <v>2.4500000000000001E-2</v>
      </c>
      <c r="C29" s="19">
        <f>$C$25*B29</f>
        <v>39959.965499999998</v>
      </c>
      <c r="D29" s="19">
        <f>C29*12</f>
        <v>479519.58600000001</v>
      </c>
    </row>
    <row r="30" spans="1:8" x14ac:dyDescent="0.3">
      <c r="A30" s="40" t="str">
        <f>Parametry!A14</f>
        <v>FGŚP</v>
      </c>
      <c r="B30" s="41">
        <f>Parametry!B14</f>
        <v>1E-3</v>
      </c>
      <c r="C30" s="19">
        <f>$C$25*B30</f>
        <v>1631.019</v>
      </c>
      <c r="D30" s="19">
        <f>C30*12</f>
        <v>19572.227999999999</v>
      </c>
    </row>
    <row r="31" spans="1:8" x14ac:dyDescent="0.3">
      <c r="A31" s="40" t="str">
        <f>Parametry!A15</f>
        <v>PPK – wpłata podstawowa pracodawcy</v>
      </c>
      <c r="B31" s="41">
        <f>Parametry!B15</f>
        <v>1.4999999999999999E-2</v>
      </c>
      <c r="C31" s="19">
        <f>$C$25*B31</f>
        <v>24465.285</v>
      </c>
      <c r="D31" s="19">
        <f>C31*12</f>
        <v>293583.42</v>
      </c>
    </row>
    <row r="32" spans="1:8" ht="15" thickBot="1" x14ac:dyDescent="0.35">
      <c r="A32" s="34" t="s">
        <v>325</v>
      </c>
      <c r="B32" s="35">
        <f>SUM(B26:B31)</f>
        <v>0.2198</v>
      </c>
      <c r="C32" s="38">
        <f>SUM(C25:C31)</f>
        <v>1989516.9761999999</v>
      </c>
      <c r="D32" s="38">
        <f>SUM(D25:D31)</f>
        <v>23874203.714400001</v>
      </c>
    </row>
    <row r="33" spans="1:2" ht="15" thickTop="1" x14ac:dyDescent="0.3">
      <c r="A33" s="16" t="s">
        <v>326</v>
      </c>
      <c r="B33" s="42">
        <f>ROUND(C32-F10,2)</f>
        <v>0</v>
      </c>
    </row>
  </sheetData>
  <conditionalFormatting sqref="B20">
    <cfRule type="expression" dxfId="10" priority="1">
      <formula>ABS(B20)&gt;0.5</formula>
    </cfRule>
  </conditionalFormatting>
  <conditionalFormatting sqref="B20">
    <cfRule type="expression" dxfId="9" priority="2">
      <formula>ABS(B20)&lt;=0.5</formula>
    </cfRule>
  </conditionalFormatting>
  <conditionalFormatting sqref="B33">
    <cfRule type="expression" dxfId="8" priority="3">
      <formula>ABS(B33)&gt;0.5</formula>
    </cfRule>
  </conditionalFormatting>
  <conditionalFormatting sqref="B33">
    <cfRule type="expression" dxfId="7" priority="4">
      <formula>ABS(B33)&lt;=0.5</formula>
    </cfRule>
  </conditionalFormatting>
  <conditionalFormatting sqref="B15:F18">
    <cfRule type="colorScale" priority="5">
      <colorScale>
        <cfvo type="min"/>
        <cfvo type="max"/>
        <color rgb="FFFFFFFF"/>
        <color rgb="FF8EA9D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7306-B1F7-4FF0-A768-78BFE3231081}">
  <sheetPr>
    <tabColor rgb="FF2E75B6"/>
  </sheetPr>
  <dimension ref="A1:Z60"/>
  <sheetViews>
    <sheetView showGridLines="0" workbookViewId="0">
      <selection activeCell="E33" sqref="E33"/>
    </sheetView>
  </sheetViews>
  <sheetFormatPr defaultRowHeight="14.4" x14ac:dyDescent="0.3"/>
  <cols>
    <col min="1" max="1" width="13" style="1" customWidth="1"/>
    <col min="2" max="2" width="17" style="1" customWidth="1"/>
    <col min="3" max="3" width="22.21875" style="1" customWidth="1"/>
    <col min="4" max="4" width="31.44140625" style="1" customWidth="1"/>
    <col min="5" max="12" width="17" style="1" customWidth="1"/>
    <col min="13" max="13" width="25.88671875" style="1" customWidth="1"/>
    <col min="14" max="26" width="8.88671875" style="1"/>
  </cols>
  <sheetData>
    <row r="1" spans="1:13" ht="21" x14ac:dyDescent="0.4">
      <c r="A1" s="2" t="s">
        <v>328</v>
      </c>
    </row>
    <row r="2" spans="1:13" x14ac:dyDescent="0.3">
      <c r="A2" s="3" t="s">
        <v>329</v>
      </c>
    </row>
    <row r="4" spans="1:13" x14ac:dyDescent="0.3">
      <c r="A4" s="12" t="s">
        <v>330</v>
      </c>
    </row>
    <row r="5" spans="1:13" ht="42" customHeight="1" x14ac:dyDescent="0.3">
      <c r="A5" s="43" t="s">
        <v>18</v>
      </c>
      <c r="B5" s="43" t="s">
        <v>331</v>
      </c>
      <c r="C5" s="43" t="s">
        <v>332</v>
      </c>
      <c r="D5" s="43" t="s">
        <v>308</v>
      </c>
      <c r="E5" s="43" t="s">
        <v>333</v>
      </c>
      <c r="F5" s="43" t="s">
        <v>334</v>
      </c>
      <c r="G5" s="43" t="s">
        <v>335</v>
      </c>
      <c r="H5" s="43" t="s">
        <v>336</v>
      </c>
      <c r="I5" s="43" t="s">
        <v>337</v>
      </c>
      <c r="J5" s="43" t="s">
        <v>338</v>
      </c>
      <c r="K5" s="43" t="s">
        <v>339</v>
      </c>
      <c r="L5" s="43" t="s">
        <v>340</v>
      </c>
      <c r="M5" s="43" t="s">
        <v>341</v>
      </c>
    </row>
    <row r="6" spans="1:13" x14ac:dyDescent="0.3">
      <c r="A6" s="40" t="str">
        <f>INDEX(tblWidelki[Grupa],1)</f>
        <v>G1</v>
      </c>
      <c r="B6" s="47">
        <f>_xlfn.XLOOKUP($A6,tblWidelki[Grupa],tblWidelki[Min])</f>
        <v>4806</v>
      </c>
      <c r="C6" s="47">
        <f>_xlfn.XLOOKUP($A6,tblWidelki[Grupa],tblWidelki[Max])</f>
        <v>5800</v>
      </c>
      <c r="D6" s="29">
        <f>COUNTIFS(tblKadry[Grupa],$A6,tblKadry[Aktywny_na_dzień],1)</f>
        <v>26</v>
      </c>
      <c r="E6" s="48" cm="1">
        <f t="array" ref="E6">IFERROR(MEDIAN(_xlfn._xlws.FILTER(tblKadry[Stawka_pełny_etat],(tblKadry[Grupa]=$A6)*(tblKadry[Aktywny_na_dzień]=1)*(tblKadry[Stawka_pełny_etat]&lt;&gt;""))),0)</f>
        <v>5225</v>
      </c>
      <c r="F6" s="49">
        <f>IFERROR(AVERAGEIFS(tblKadry[Compa_ratio],tblKadry[Grupa],$A6,tblKadry[Aktywny_na_dzień],1),0)</f>
        <v>0.99370941460324835</v>
      </c>
      <c r="G6" s="29">
        <f>COUNTIFS(tblKadry[Grupa],$A6,tblKadry[Pozycja_w_widełkach],"Poniżej",tblKadry[Aktywny_na_dzień],1)</f>
        <v>1</v>
      </c>
      <c r="H6" s="29">
        <f>COUNTIFS(tblKadry[Grupa],$A6,tblKadry[Pozycja_w_widełkach],"Powyżej",tblKadry[Aktywny_na_dzień],1)</f>
        <v>2</v>
      </c>
      <c r="I6" s="48" cm="1">
        <f t="array" ref="I6">SUMPRODUCT((tblKadry[Grupa]=$A6)*(tblKadry[Aktywny_na_dzień]=1)*(tblKadry[Pozycja_w_widełkach]="Poniżej")*($B6*tblKadry[Etat]-tblKadry[Wynagrodzenie_zasadnicze]))</f>
        <v>156</v>
      </c>
      <c r="J6" s="48">
        <f>IFERROR(AVERAGEIFS(tblKadry[Stawka_pełny_etat],tblKadry[Grupa],$A6,tblKadry[Płeć],"K",tblKadry[Aktywny_na_dzień],1),0)</f>
        <v>5250.454545454545</v>
      </c>
      <c r="K6" s="48">
        <f>IFERROR(AVERAGEIFS(tblKadry[Stawka_pełny_etat],tblKadry[Grupa],$A6,tblKadry[Płeć],"M",tblKadry[Aktywny_na_dzień],1),0)</f>
        <v>5375.166666666667</v>
      </c>
      <c r="L6" s="50">
        <f>IF(OR(J6=0,K6=0),"",(K6-J6)/K6)</f>
        <v>2.3201535681768984E-2</v>
      </c>
      <c r="M6" s="29" t="str">
        <f>IF(L6="","b.d. (brak K lub M)",IF(ABS(L6)&gt;=0.05,"Wymaga oceny","OK"))</f>
        <v>OK</v>
      </c>
    </row>
    <row r="7" spans="1:13" x14ac:dyDescent="0.3">
      <c r="A7" s="40" t="str">
        <f>INDEX(tblWidelki[Grupa],2)</f>
        <v>G2</v>
      </c>
      <c r="B7" s="47">
        <f>_xlfn.XLOOKUP($A7,tblWidelki[Grupa],tblWidelki[Min])</f>
        <v>5500</v>
      </c>
      <c r="C7" s="47">
        <f>_xlfn.XLOOKUP($A7,tblWidelki[Grupa],tblWidelki[Max])</f>
        <v>7500</v>
      </c>
      <c r="D7" s="29">
        <f>COUNTIFS(tblKadry[Grupa],$A7,tblKadry[Aktywny_na_dzień],1)</f>
        <v>15</v>
      </c>
      <c r="E7" s="48" cm="1">
        <f t="array" ref="E7">IFERROR(MEDIAN(_xlfn._xlws.FILTER(tblKadry[Stawka_pełny_etat],(tblKadry[Grupa]=$A7)*(tblKadry[Aktywny_na_dzień]=1)*(tblKadry[Stawka_pełny_etat]&lt;&gt;""))),0)</f>
        <v>6210</v>
      </c>
      <c r="F7" s="49">
        <f>IFERROR(AVERAGEIFS(tblKadry[Compa_ratio],tblKadry[Grupa],$A7,tblKadry[Aktywny_na_dzień],1),0)</f>
        <v>0.93384615384615377</v>
      </c>
      <c r="G7" s="29">
        <f>COUNTIFS(tblKadry[Grupa],$A7,tblKadry[Pozycja_w_widełkach],"Poniżej",tblKadry[Aktywny_na_dzień],1)</f>
        <v>3</v>
      </c>
      <c r="H7" s="29">
        <f>COUNTIFS(tblKadry[Grupa],$A7,tblKadry[Pozycja_w_widełkach],"Powyżej",tblKadry[Aktywny_na_dzień],1)</f>
        <v>0</v>
      </c>
      <c r="I7" s="48" cm="1">
        <f t="array" ref="I7">SUMPRODUCT((tblKadry[Grupa]=$A7)*(tblKadry[Aktywny_na_dzień]=1)*(tblKadry[Pozycja_w_widełkach]="Poniżej")*($B7*tblKadry[Etat]-tblKadry[Wynagrodzenie_zasadnicze]))</f>
        <v>1140</v>
      </c>
      <c r="J7" s="48">
        <f>IFERROR(AVERAGEIFS(tblKadry[Stawka_pełny_etat],tblKadry[Grupa],$A7,tblKadry[Płeć],"K",tblKadry[Aktywny_na_dzień],1),0)</f>
        <v>6021.666666666667</v>
      </c>
      <c r="K7" s="48">
        <f>IFERROR(AVERAGEIFS(tblKadry[Stawka_pełny_etat],tblKadry[Grupa],$A7,tblKadry[Płeć],"M",tblKadry[Aktywny_na_dzień],1),0)</f>
        <v>6263.333333333333</v>
      </c>
      <c r="L7" s="50">
        <f>IF(OR(J7=0,K7=0),"",(K7-J7)/K7)</f>
        <v>3.8584353379457065E-2</v>
      </c>
      <c r="M7" s="29" t="str">
        <f>IF(L7="","b.d. (brak K lub M)",IF(ABS(L7)&gt;=0.05,"Wymaga oceny","OK"))</f>
        <v>OK</v>
      </c>
    </row>
    <row r="8" spans="1:13" x14ac:dyDescent="0.3">
      <c r="A8" s="40" t="str">
        <f>INDEX(tblWidelki[Grupa],3)</f>
        <v>G3</v>
      </c>
      <c r="B8" s="47">
        <f>_xlfn.XLOOKUP($A8,tblWidelki[Grupa],tblWidelki[Min])</f>
        <v>7000</v>
      </c>
      <c r="C8" s="47">
        <f>_xlfn.XLOOKUP($A8,tblWidelki[Grupa],tblWidelki[Max])</f>
        <v>10000</v>
      </c>
      <c r="D8" s="29">
        <f>COUNTIFS(tblKadry[Grupa],$A8,tblKadry[Aktywny_na_dzień],1)</f>
        <v>66</v>
      </c>
      <c r="E8" s="48" cm="1">
        <f t="array" ref="E8">IFERROR(MEDIAN(_xlfn._xlws.FILTER(tblKadry[Stawka_pełny_etat],(tblKadry[Grupa]=$A8)*(tblKadry[Aktywny_na_dzień]=1)*(tblKadry[Stawka_pełny_etat]&lt;&gt;""))),0)</f>
        <v>8210</v>
      </c>
      <c r="F8" s="49">
        <f>IFERROR(AVERAGEIFS(tblKadry[Compa_ratio],tblKadry[Grupa],$A8,tblKadry[Aktywny_na_dzień],1),0)</f>
        <v>0.97636199095022647</v>
      </c>
      <c r="G8" s="29">
        <f>COUNTIFS(tblKadry[Grupa],$A8,tblKadry[Pozycja_w_widełkach],"Poniżej",tblKadry[Aktywny_na_dzień],1)</f>
        <v>4</v>
      </c>
      <c r="H8" s="29">
        <f>COUNTIFS(tblKadry[Grupa],$A8,tblKadry[Pozycja_w_widełkach],"Powyżej",tblKadry[Aktywny_na_dzień],1)</f>
        <v>3</v>
      </c>
      <c r="I8" s="48" cm="1">
        <f t="array" ref="I8">SUMPRODUCT((tblKadry[Grupa]=$A8)*(tblKadry[Aktywny_na_dzień]=1)*(tblKadry[Pozycja_w_widełkach]="Poniżej")*($B8*tblKadry[Etat]-tblKadry[Wynagrodzenie_zasadnicze]))</f>
        <v>1795</v>
      </c>
      <c r="J8" s="48">
        <f>IFERROR(AVERAGEIFS(tblKadry[Stawka_pełny_etat],tblKadry[Grupa],$A8,tblKadry[Płeć],"K",tblKadry[Aktywny_na_dzień],1),0)</f>
        <v>8308.75</v>
      </c>
      <c r="K8" s="48">
        <f>IFERROR(AVERAGEIFS(tblKadry[Stawka_pełny_etat],tblKadry[Grupa],$A8,tblKadry[Płeć],"M",tblKadry[Aktywny_na_dzień],1),0)</f>
        <v>8238.8888888888887</v>
      </c>
      <c r="L8" s="50">
        <f>IF(OR(J8=0,K8=0),"",(K8-J8)/K8)</f>
        <v>-8.4794335805799311E-3</v>
      </c>
      <c r="M8" s="29" t="str">
        <f>IF(L8="","b.d. (brak K lub M)",IF(ABS(L8)&gt;=0.05,"Wymaga oceny","OK"))</f>
        <v>OK</v>
      </c>
    </row>
    <row r="9" spans="1:13" x14ac:dyDescent="0.3">
      <c r="A9" s="40" t="str">
        <f>INDEX(tblWidelki[Grupa],4)</f>
        <v>G4</v>
      </c>
      <c r="B9" s="47">
        <f>_xlfn.XLOOKUP($A9,tblWidelki[Grupa],tblWidelki[Min])</f>
        <v>9000</v>
      </c>
      <c r="C9" s="47">
        <f>_xlfn.XLOOKUP($A9,tblWidelki[Grupa],tblWidelki[Max])</f>
        <v>13000</v>
      </c>
      <c r="D9" s="29">
        <f>COUNTIFS(tblKadry[Grupa],$A9,tblKadry[Aktywny_na_dzień],1)</f>
        <v>13</v>
      </c>
      <c r="E9" s="48" cm="1">
        <f t="array" ref="E9">IFERROR(MEDIAN(_xlfn._xlws.FILTER(tblKadry[Stawka_pełny_etat],(tblKadry[Grupa]=$A9)*(tblKadry[Aktywny_na_dzień]=1)*(tblKadry[Stawka_pełny_etat]&lt;&gt;""))),0)</f>
        <v>10470</v>
      </c>
      <c r="F9" s="49">
        <f>IFERROR(AVERAGEIFS(tblKadry[Compa_ratio],tblKadry[Grupa],$A9,tblKadry[Aktywny_na_dzień],1),0)</f>
        <v>0.96447552447552443</v>
      </c>
      <c r="G9" s="29">
        <f>COUNTIFS(tblKadry[Grupa],$A9,tblKadry[Pozycja_w_widełkach],"Poniżej",tblKadry[Aktywny_na_dzień],1)</f>
        <v>0</v>
      </c>
      <c r="H9" s="29">
        <f>COUNTIFS(tblKadry[Grupa],$A9,tblKadry[Pozycja_w_widełkach],"Powyżej",tblKadry[Aktywny_na_dzień],1)</f>
        <v>0</v>
      </c>
      <c r="I9" s="48" cm="1">
        <f t="array" ref="I9">SUMPRODUCT((tblKadry[Grupa]=$A9)*(tblKadry[Aktywny_na_dzień]=1)*(tblKadry[Pozycja_w_widełkach]="Poniżej")*($B9*tblKadry[Etat]-tblKadry[Wynagrodzenie_zasadnicze]))</f>
        <v>0</v>
      </c>
      <c r="J9" s="48">
        <f>IFERROR(AVERAGEIFS(tblKadry[Stawka_pełny_etat],tblKadry[Grupa],$A9,tblKadry[Płeć],"K",tblKadry[Aktywny_na_dzień],1),0)</f>
        <v>10461.25</v>
      </c>
      <c r="K9" s="48">
        <f>IFERROR(AVERAGEIFS(tblKadry[Stawka_pełny_etat],tblKadry[Grupa],$A9,tblKadry[Płeć],"M",tblKadry[Aktywny_na_dzień],1),0)</f>
        <v>10846</v>
      </c>
      <c r="L9" s="50">
        <f>IF(OR(J9=0,K9=0),"",(K9-J9)/K9)</f>
        <v>3.5473907431311083E-2</v>
      </c>
      <c r="M9" s="29" t="str">
        <f>IF(L9="","b.d. (brak K lub M)",IF(ABS(L9)&gt;=0.05,"Wymaga oceny","OK"))</f>
        <v>OK</v>
      </c>
    </row>
    <row r="10" spans="1:13" x14ac:dyDescent="0.3">
      <c r="A10" s="40" t="str">
        <f>INDEX(tblWidelki[Grupa],5)</f>
        <v>G5</v>
      </c>
      <c r="B10" s="47">
        <f>_xlfn.XLOOKUP($A10,tblWidelki[Grupa],tblWidelki[Min])</f>
        <v>13000</v>
      </c>
      <c r="C10" s="47">
        <f>_xlfn.XLOOKUP($A10,tblWidelki[Grupa],tblWidelki[Max])</f>
        <v>19000</v>
      </c>
      <c r="D10" s="29">
        <f>COUNTIFS(tblKadry[Grupa],$A10,tblKadry[Aktywny_na_dzień],1)</f>
        <v>14</v>
      </c>
      <c r="E10" s="48" cm="1">
        <f t="array" ref="E10">IFERROR(MEDIAN(_xlfn._xlws.FILTER(tblKadry[Stawka_pełny_etat],(tblKadry[Grupa]=$A10)*(tblKadry[Aktywny_na_dzień]=1)*(tblKadry[Stawka_pełny_etat]&lt;&gt;""))),0)</f>
        <v>15485</v>
      </c>
      <c r="F10" s="49">
        <f>IFERROR(AVERAGEIFS(tblKadry[Compa_ratio],tblKadry[Grupa],$A10,tblKadry[Aktywny_na_dzień],1),0)</f>
        <v>0.99111607142857139</v>
      </c>
      <c r="G10" s="29">
        <f>COUNTIFS(tblKadry[Grupa],$A10,tblKadry[Pozycja_w_widełkach],"Poniżej",tblKadry[Aktywny_na_dzień],1)</f>
        <v>2</v>
      </c>
      <c r="H10" s="29">
        <f>COUNTIFS(tblKadry[Grupa],$A10,tblKadry[Pozycja_w_widełkach],"Powyżej",tblKadry[Aktywny_na_dzień],1)</f>
        <v>2</v>
      </c>
      <c r="I10" s="48" cm="1">
        <f t="array" ref="I10">SUMPRODUCT((tblKadry[Grupa]=$A10)*(tblKadry[Aktywny_na_dzień]=1)*(tblKadry[Pozycja_w_widełkach]="Poniżej")*($B10*tblKadry[Etat]-tblKadry[Wynagrodzenie_zasadnicze]))</f>
        <v>1285</v>
      </c>
      <c r="J10" s="48">
        <f>IFERROR(AVERAGEIFS(tblKadry[Stawka_pełny_etat],tblKadry[Grupa],$A10,tblKadry[Płeć],"K",tblKadry[Aktywny_na_dzień],1),0)</f>
        <v>15258.571428571429</v>
      </c>
      <c r="K10" s="48">
        <f>IFERROR(AVERAGEIFS(tblKadry[Stawka_pełny_etat],tblKadry[Grupa],$A10,tblKadry[Płeć],"M",tblKadry[Aktywny_na_dzień],1),0)</f>
        <v>16457.142857142859</v>
      </c>
      <c r="L10" s="50">
        <f>IF(OR(J10=0,K10=0),"",(K10-J10)/K10)</f>
        <v>7.2829861111111158E-2</v>
      </c>
      <c r="M10" s="29" t="str">
        <f>IF(L10="","b.d. (brak K lub M)",IF(ABS(L10)&gt;=0.05,"Wymaga oceny","OK"))</f>
        <v>Wymaga oceny</v>
      </c>
    </row>
    <row r="11" spans="1:13" x14ac:dyDescent="0.3">
      <c r="A11" s="40" t="str">
        <f>INDEX(tblWidelki[Grupa],6)</f>
        <v>G6</v>
      </c>
      <c r="B11" s="47">
        <f>_xlfn.XLOOKUP($A11,tblWidelki[Grupa],tblWidelki[Min])</f>
        <v>17000</v>
      </c>
      <c r="C11" s="47">
        <f>_xlfn.XLOOKUP($A11,tblWidelki[Grupa],tblWidelki[Max])</f>
        <v>24000</v>
      </c>
      <c r="D11" s="29">
        <f>COUNTIFS(tblKadry[Grupa],$A11,tblKadry[Aktywny_na_dzień],1)</f>
        <v>27</v>
      </c>
      <c r="E11" s="48" cm="1">
        <f t="array" ref="E11">IFERROR(MEDIAN(_xlfn._xlws.FILTER(tblKadry[Stawka_pełny_etat],(tblKadry[Grupa]=$A11)*(tblKadry[Aktywny_na_dzień]=1)*(tblKadry[Stawka_pełny_etat]&lt;&gt;""))),0)</f>
        <v>20470</v>
      </c>
      <c r="F11" s="49">
        <f>IFERROR(AVERAGEIFS(tblKadry[Compa_ratio],tblKadry[Grupa],$A11,tblKadry[Aktywny_na_dzień],1),0)</f>
        <v>1.0050611261668172</v>
      </c>
      <c r="G11" s="29">
        <f>COUNTIFS(tblKadry[Grupa],$A11,tblKadry[Pozycja_w_widełkach],"Poniżej",tblKadry[Aktywny_na_dzień],1)</f>
        <v>2</v>
      </c>
      <c r="H11" s="29">
        <f>COUNTIFS(tblKadry[Grupa],$A11,tblKadry[Pozycja_w_widełkach],"Powyżej",tblKadry[Aktywny_na_dzień],1)</f>
        <v>2</v>
      </c>
      <c r="I11" s="48" cm="1">
        <f t="array" ref="I11">SUMPRODUCT((tblKadry[Grupa]=$A11)*(tblKadry[Aktywny_na_dzień]=1)*(tblKadry[Pozycja_w_widełkach]="Poniżej")*($B11*tblKadry[Etat]-tblKadry[Wynagrodzenie_zasadnicze]))</f>
        <v>2860</v>
      </c>
      <c r="J11" s="48">
        <f>IFERROR(AVERAGEIFS(tblKadry[Stawka_pełny_etat],tblKadry[Grupa],$A11,tblKadry[Płeć],"K",tblKadry[Aktywny_na_dzień],1),0)</f>
        <v>21015</v>
      </c>
      <c r="K11" s="48">
        <f>IFERROR(AVERAGEIFS(tblKadry[Stawka_pełny_etat],tblKadry[Grupa],$A11,tblKadry[Płeć],"M",tblKadry[Aktywny_na_dzień],1),0)</f>
        <v>20430.596491228069</v>
      </c>
      <c r="L11" s="50">
        <f>IF(OR(J11=0,K11=0),"",(K11-J11)/K11)</f>
        <v>-2.8604329248186487E-2</v>
      </c>
      <c r="M11" s="29" t="str">
        <f>IF(L11="","b.d. (brak K lub M)",IF(ABS(L11)&gt;=0.05,"Wymaga oceny","OK"))</f>
        <v>OK</v>
      </c>
    </row>
    <row r="12" spans="1:13" x14ac:dyDescent="0.3">
      <c r="A12" s="44" t="s">
        <v>316</v>
      </c>
      <c r="B12" s="51"/>
      <c r="C12" s="51"/>
      <c r="D12" s="52">
        <f>SUM(D6:D11)</f>
        <v>161</v>
      </c>
      <c r="E12" s="51" cm="1">
        <f t="array" ref="E12">IFERROR(MEDIAN(_xlfn._xlws.FILTER(tblKadry[Stawka_pełny_etat],(tblKadry[Aktywny_na_dzień]=1)*(tblKadry[Stawka_pełny_etat]&lt;&gt;""))),0)</f>
        <v>8535</v>
      </c>
      <c r="F12" s="53">
        <f>IFERROR(AVERAGEIFS(tblKadry[Compa_ratio],tblKadry[Aktywny_na_dzień],1),0)</f>
        <v>0.98036327327392103</v>
      </c>
      <c r="G12" s="52">
        <f>SUM(G6:G11)</f>
        <v>12</v>
      </c>
      <c r="H12" s="52">
        <f>SUM(H6:H11)</f>
        <v>9</v>
      </c>
      <c r="I12" s="51">
        <f>SUM(I6:I11)</f>
        <v>7236</v>
      </c>
      <c r="J12" s="51">
        <f>IFERROR(AVERAGEIFS(tblKadry[Stawka_pełny_etat],tblKadry[Płeć],"K",tblKadry[Aktywny_na_dzień],1),0)</f>
        <v>8952.9203539823011</v>
      </c>
      <c r="K12" s="51">
        <f>IFERROR(AVERAGEIFS(tblKadry[Stawka_pełny_etat],tblKadry[Płeć],"M",tblKadry[Aktywny_na_dzień],1),0)</f>
        <v>14298.978723404252</v>
      </c>
      <c r="L12" s="54">
        <f>IF(OR(J12=0,K12=0),"",(K12-J12)/K12)</f>
        <v>0.37387693714598241</v>
      </c>
      <c r="M12" s="52" t="str">
        <f>"luka nieskorygowana"</f>
        <v>luka nieskorygowana</v>
      </c>
    </row>
    <row r="13" spans="1:13" x14ac:dyDescent="0.3">
      <c r="A13" s="3" t="s">
        <v>342</v>
      </c>
    </row>
    <row r="15" spans="1:13" x14ac:dyDescent="0.3">
      <c r="A15" s="12" t="s">
        <v>343</v>
      </c>
    </row>
    <row r="16" spans="1:13" ht="41.4" x14ac:dyDescent="0.3">
      <c r="A16" s="43" t="s">
        <v>303</v>
      </c>
      <c r="B16" s="43" t="s">
        <v>37</v>
      </c>
      <c r="C16" s="43" t="s">
        <v>42</v>
      </c>
      <c r="D16" s="43" t="s">
        <v>49</v>
      </c>
      <c r="E16" s="43" t="s">
        <v>18</v>
      </c>
      <c r="F16" s="43" t="s">
        <v>50</v>
      </c>
      <c r="G16" s="43" t="s">
        <v>344</v>
      </c>
      <c r="H16" s="43" t="s">
        <v>345</v>
      </c>
    </row>
    <row r="17" spans="1:8" x14ac:dyDescent="0.3">
      <c r="A17" s="1" t="str" cm="1">
        <f t="array" ref="A17:H28">_xlfn._xlws.SORT(_xlfn._xlws.FILTER(_xlfn.CHOOSECOLS(tblKadry[],1,2,3,4,5,6,15,20),(tblKadry[Pozycja_w_widełkach]="Poniżej")*(tblKadry[Aktywny_na_dzień]=1),"Brak"),8,1)</f>
        <v>P1045</v>
      </c>
      <c r="B17" s="1" t="str">
        <v>Ustroń</v>
      </c>
      <c r="C17" s="1" t="str">
        <v>Administracja</v>
      </c>
      <c r="D17" s="1" t="str">
        <v>Referent</v>
      </c>
      <c r="E17" s="1" t="str">
        <v>G2</v>
      </c>
      <c r="F17" s="1" t="str">
        <v>K</v>
      </c>
      <c r="G17" s="19">
        <v>4600</v>
      </c>
      <c r="H17" s="18">
        <v>0.70769230769230773</v>
      </c>
    </row>
    <row r="18" spans="1:8" x14ac:dyDescent="0.3">
      <c r="A18" s="1" t="str">
        <v>P1062</v>
      </c>
      <c r="B18" s="1" t="str">
        <v>Bielsko-Biała</v>
      </c>
      <c r="C18" s="1" t="str">
        <v>Chirurgia naczyniowa</v>
      </c>
      <c r="D18" s="1" t="str">
        <v>Pielęgniarka / pielęgniarz</v>
      </c>
      <c r="E18" s="1" t="str">
        <v>G3</v>
      </c>
      <c r="F18" s="1" t="str">
        <v>K</v>
      </c>
      <c r="G18" s="19">
        <v>6280</v>
      </c>
      <c r="H18" s="18">
        <v>0.73882352941176466</v>
      </c>
    </row>
    <row r="19" spans="1:8" x14ac:dyDescent="0.3">
      <c r="A19" s="1" t="str">
        <v>P1153</v>
      </c>
      <c r="B19" s="1" t="str">
        <v>Kraków</v>
      </c>
      <c r="C19" s="1" t="str">
        <v>Kardiochirurgia</v>
      </c>
      <c r="D19" s="1" t="str">
        <v>Lekarz specjalista</v>
      </c>
      <c r="E19" s="1" t="str">
        <v>G6</v>
      </c>
      <c r="F19" s="1" t="str">
        <v>M</v>
      </c>
      <c r="G19" s="19">
        <v>15350</v>
      </c>
      <c r="H19" s="18">
        <v>0.74878048780487805</v>
      </c>
    </row>
    <row r="20" spans="1:8" x14ac:dyDescent="0.3">
      <c r="A20" s="1" t="str">
        <v>P1146</v>
      </c>
      <c r="B20" s="1" t="str">
        <v>Kraków</v>
      </c>
      <c r="C20" s="1" t="str">
        <v>Kardiologia</v>
      </c>
      <c r="D20" s="1" t="str">
        <v>Lekarz rezydent</v>
      </c>
      <c r="E20" s="1" t="str">
        <v>G5</v>
      </c>
      <c r="F20" s="1" t="str">
        <v>K</v>
      </c>
      <c r="G20" s="19">
        <v>12010</v>
      </c>
      <c r="H20" s="18">
        <v>0.75062499999999999</v>
      </c>
    </row>
    <row r="21" spans="1:8" x14ac:dyDescent="0.3">
      <c r="A21" s="1" t="str">
        <v>P1050</v>
      </c>
      <c r="B21" s="1" t="str">
        <v>Bielsko-Biała</v>
      </c>
      <c r="C21" s="1" t="str">
        <v>Kardiologia</v>
      </c>
      <c r="D21" s="1" t="str">
        <v>Lekarz specjalista</v>
      </c>
      <c r="E21" s="1" t="str">
        <v>G6</v>
      </c>
      <c r="F21" s="1" t="str">
        <v>M</v>
      </c>
      <c r="G21" s="19">
        <v>15790</v>
      </c>
      <c r="H21" s="18">
        <v>0.77024390243902441</v>
      </c>
    </row>
    <row r="22" spans="1:8" x14ac:dyDescent="0.3">
      <c r="A22" s="1" t="str">
        <v>P1102</v>
      </c>
      <c r="B22" s="1" t="str">
        <v>Katowice</v>
      </c>
      <c r="C22" s="1" t="str">
        <v>Kardiochirurgia</v>
      </c>
      <c r="D22" s="1" t="str">
        <v>Lekarz rezydent</v>
      </c>
      <c r="E22" s="1" t="str">
        <v>G5</v>
      </c>
      <c r="F22" s="1" t="str">
        <v>K</v>
      </c>
      <c r="G22" s="19">
        <v>12410</v>
      </c>
      <c r="H22" s="18">
        <v>0.77562500000000001</v>
      </c>
    </row>
    <row r="23" spans="1:8" x14ac:dyDescent="0.3">
      <c r="A23" s="1" t="str">
        <v>P1090</v>
      </c>
      <c r="B23" s="1" t="str">
        <v>Katowice</v>
      </c>
      <c r="C23" s="1" t="str">
        <v>Chirurgia naczyniowa</v>
      </c>
      <c r="D23" s="1" t="str">
        <v>Pielęgniarka / pielęgniarz</v>
      </c>
      <c r="E23" s="1" t="str">
        <v>G3</v>
      </c>
      <c r="F23" s="1" t="str">
        <v>K</v>
      </c>
      <c r="G23" s="19">
        <v>6600</v>
      </c>
      <c r="H23" s="18">
        <v>0.77647058823529413</v>
      </c>
    </row>
    <row r="24" spans="1:8" x14ac:dyDescent="0.3">
      <c r="A24" s="1" t="str">
        <v>P1010</v>
      </c>
      <c r="B24" s="1" t="str">
        <v>Katowice</v>
      </c>
      <c r="C24" s="1" t="str">
        <v>Chirurgia naczyniowa</v>
      </c>
      <c r="D24" s="1" t="str">
        <v>Pielęgniarka / pielęgniarz</v>
      </c>
      <c r="E24" s="1" t="str">
        <v>G3</v>
      </c>
      <c r="F24" s="1" t="str">
        <v>K</v>
      </c>
      <c r="G24" s="19">
        <v>6610</v>
      </c>
      <c r="H24" s="18">
        <v>0.77764705882352936</v>
      </c>
    </row>
    <row r="25" spans="1:8" x14ac:dyDescent="0.3">
      <c r="A25" s="1" t="str">
        <v>P1069</v>
      </c>
      <c r="B25" s="1" t="str">
        <v>Kraków</v>
      </c>
      <c r="C25" s="1" t="str">
        <v>Administracja</v>
      </c>
      <c r="D25" s="1" t="str">
        <v>Specjalista ds. kadr i płac</v>
      </c>
      <c r="E25" s="1" t="str">
        <v>G3</v>
      </c>
      <c r="F25" s="1" t="str">
        <v>K</v>
      </c>
      <c r="G25" s="19">
        <v>6700</v>
      </c>
      <c r="H25" s="18">
        <v>0.78823529411764703</v>
      </c>
    </row>
    <row r="26" spans="1:8" x14ac:dyDescent="0.3">
      <c r="A26" s="1" t="str">
        <v>P1133</v>
      </c>
      <c r="B26" s="1" t="str">
        <v>Katowice</v>
      </c>
      <c r="C26" s="1" t="str">
        <v>Laboratorium</v>
      </c>
      <c r="D26" s="1" t="str">
        <v>Technik analityki medycznej</v>
      </c>
      <c r="E26" s="1" t="str">
        <v>G2</v>
      </c>
      <c r="F26" s="1" t="str">
        <v>K</v>
      </c>
      <c r="G26" s="19">
        <v>5140</v>
      </c>
      <c r="H26" s="18">
        <v>0.79076923076923078</v>
      </c>
    </row>
    <row r="27" spans="1:8" x14ac:dyDescent="0.3">
      <c r="A27" s="1" t="str">
        <v>P1175</v>
      </c>
      <c r="B27" s="1" t="str">
        <v>Ustroń</v>
      </c>
      <c r="C27" s="1" t="str">
        <v>Laboratorium</v>
      </c>
      <c r="D27" s="1" t="str">
        <v>Technik analityki medycznej</v>
      </c>
      <c r="E27" s="1" t="str">
        <v>G2</v>
      </c>
      <c r="F27" s="1" t="str">
        <v>K</v>
      </c>
      <c r="G27" s="19">
        <v>5170</v>
      </c>
      <c r="H27" s="18">
        <v>0.79538461538461536</v>
      </c>
    </row>
    <row r="28" spans="1:8" x14ac:dyDescent="0.3">
      <c r="A28" s="1" t="str">
        <v>P1032</v>
      </c>
      <c r="B28" s="1" t="str">
        <v>Kraków</v>
      </c>
      <c r="C28" s="1" t="str">
        <v>Administracja</v>
      </c>
      <c r="D28" s="1" t="str">
        <v>Rejestratorka / rejestrator medyczny</v>
      </c>
      <c r="E28" s="1" t="str">
        <v>G1</v>
      </c>
      <c r="F28" s="1" t="str">
        <v>K</v>
      </c>
      <c r="G28" s="19">
        <v>4650</v>
      </c>
      <c r="H28" s="18">
        <v>0.87686215349801999</v>
      </c>
    </row>
    <row r="29" spans="1:8" x14ac:dyDescent="0.3">
      <c r="G29" s="19"/>
      <c r="H29" s="18"/>
    </row>
    <row r="30" spans="1:8" x14ac:dyDescent="0.3">
      <c r="G30" s="19"/>
      <c r="H30" s="18"/>
    </row>
    <row r="31" spans="1:8" x14ac:dyDescent="0.3">
      <c r="G31" s="19"/>
      <c r="H31" s="18"/>
    </row>
    <row r="32" spans="1:8" x14ac:dyDescent="0.3">
      <c r="G32" s="19"/>
      <c r="H32" s="18"/>
    </row>
    <row r="33" spans="7:8" x14ac:dyDescent="0.3">
      <c r="G33" s="19"/>
      <c r="H33" s="18"/>
    </row>
    <row r="34" spans="7:8" x14ac:dyDescent="0.3">
      <c r="G34" s="19"/>
      <c r="H34" s="18"/>
    </row>
    <row r="35" spans="7:8" x14ac:dyDescent="0.3">
      <c r="G35" s="19"/>
      <c r="H35" s="18"/>
    </row>
    <row r="36" spans="7:8" x14ac:dyDescent="0.3">
      <c r="G36" s="19"/>
      <c r="H36" s="18"/>
    </row>
    <row r="37" spans="7:8" x14ac:dyDescent="0.3">
      <c r="G37" s="19"/>
      <c r="H37" s="18"/>
    </row>
    <row r="38" spans="7:8" x14ac:dyDescent="0.3">
      <c r="G38" s="19"/>
      <c r="H38" s="18"/>
    </row>
    <row r="39" spans="7:8" x14ac:dyDescent="0.3">
      <c r="G39" s="19"/>
      <c r="H39" s="18"/>
    </row>
    <row r="40" spans="7:8" x14ac:dyDescent="0.3">
      <c r="G40" s="19"/>
      <c r="H40" s="18"/>
    </row>
    <row r="41" spans="7:8" x14ac:dyDescent="0.3">
      <c r="G41" s="19"/>
      <c r="H41" s="18"/>
    </row>
    <row r="42" spans="7:8" x14ac:dyDescent="0.3">
      <c r="G42" s="19"/>
      <c r="H42" s="18"/>
    </row>
    <row r="43" spans="7:8" x14ac:dyDescent="0.3">
      <c r="G43" s="19"/>
      <c r="H43" s="18"/>
    </row>
    <row r="44" spans="7:8" x14ac:dyDescent="0.3">
      <c r="G44" s="19"/>
      <c r="H44" s="18"/>
    </row>
    <row r="45" spans="7:8" x14ac:dyDescent="0.3">
      <c r="G45" s="19"/>
      <c r="H45" s="18"/>
    </row>
    <row r="46" spans="7:8" x14ac:dyDescent="0.3">
      <c r="G46" s="19"/>
      <c r="H46" s="18"/>
    </row>
    <row r="47" spans="7:8" x14ac:dyDescent="0.3">
      <c r="G47" s="19"/>
      <c r="H47" s="18"/>
    </row>
    <row r="48" spans="7:8" x14ac:dyDescent="0.3">
      <c r="G48" s="19"/>
      <c r="H48" s="18"/>
    </row>
    <row r="49" spans="7:8" x14ac:dyDescent="0.3">
      <c r="G49" s="19"/>
      <c r="H49" s="18"/>
    </row>
    <row r="50" spans="7:8" x14ac:dyDescent="0.3">
      <c r="G50" s="19"/>
      <c r="H50" s="18"/>
    </row>
    <row r="51" spans="7:8" x14ac:dyDescent="0.3">
      <c r="G51" s="19"/>
      <c r="H51" s="18"/>
    </row>
    <row r="52" spans="7:8" x14ac:dyDescent="0.3">
      <c r="G52" s="19"/>
      <c r="H52" s="18"/>
    </row>
    <row r="53" spans="7:8" x14ac:dyDescent="0.3">
      <c r="G53" s="19"/>
      <c r="H53" s="18"/>
    </row>
    <row r="54" spans="7:8" x14ac:dyDescent="0.3">
      <c r="G54" s="19"/>
      <c r="H54" s="18"/>
    </row>
    <row r="55" spans="7:8" x14ac:dyDescent="0.3">
      <c r="G55" s="19"/>
      <c r="H55" s="18"/>
    </row>
    <row r="56" spans="7:8" x14ac:dyDescent="0.3">
      <c r="G56" s="19"/>
      <c r="H56" s="18"/>
    </row>
    <row r="57" spans="7:8" x14ac:dyDescent="0.3">
      <c r="G57" s="19"/>
      <c r="H57" s="18"/>
    </row>
    <row r="58" spans="7:8" x14ac:dyDescent="0.3">
      <c r="G58" s="19"/>
      <c r="H58" s="18"/>
    </row>
    <row r="59" spans="7:8" x14ac:dyDescent="0.3">
      <c r="G59" s="19"/>
      <c r="H59" s="18"/>
    </row>
    <row r="60" spans="7:8" x14ac:dyDescent="0.3">
      <c r="G60" s="19"/>
      <c r="H60" s="18"/>
    </row>
  </sheetData>
  <conditionalFormatting sqref="M6:M11">
    <cfRule type="containsText" dxfId="6" priority="1" operator="containsText" text="Wymaga">
      <formula>NOT(ISERROR(SEARCH("Wymaga",M6)))</formula>
    </cfRule>
  </conditionalFormatting>
  <conditionalFormatting sqref="M6:M11">
    <cfRule type="containsText" dxfId="5" priority="2" operator="containsText" text="OK">
      <formula>NOT(ISERROR(SEARCH("OK",M6)))</formula>
    </cfRule>
  </conditionalFormatting>
  <conditionalFormatting sqref="F6:F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{34148EA8-9E61-4E25-B987-DDA8F60C3D06}</x14:id>
        </ext>
      </extLst>
    </cfRule>
  </conditionalFormatting>
  <conditionalFormatting sqref="H17:H60">
    <cfRule type="cellIs" dxfId="4" priority="4" operator="lessThan">
      <formula>0.85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148EA8-9E61-4E25-B987-DDA8F60C3D0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F6:F11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E9E3-65E5-4D00-9C1A-BD2CD0E10FE2}">
  <sheetPr>
    <tabColor rgb="FF2E75B6"/>
  </sheetPr>
  <dimension ref="A1:Z31"/>
  <sheetViews>
    <sheetView showGridLines="0" tabSelected="1" workbookViewId="0"/>
  </sheetViews>
  <sheetFormatPr defaultRowHeight="14.4" x14ac:dyDescent="0.3"/>
  <cols>
    <col min="1" max="1" width="42.5546875" style="1" customWidth="1"/>
    <col min="2" max="13" width="18.5546875" style="1" customWidth="1"/>
    <col min="14" max="26" width="8.88671875" style="1"/>
  </cols>
  <sheetData>
    <row r="1" spans="1:13" ht="21" x14ac:dyDescent="0.4">
      <c r="A1" s="2" t="str">
        <f>"Budżet kosztów pracy "&amp;Parametry!B7&amp;" – plan zatrudnienia i podwyżek"</f>
        <v>Budżet kosztów pracy 2027 – plan zatrudnienia i podwyżek</v>
      </c>
    </row>
    <row r="2" spans="1:13" x14ac:dyDescent="0.3">
      <c r="A2" s="3" t="s">
        <v>346</v>
      </c>
    </row>
    <row r="4" spans="1:13" x14ac:dyDescent="0.3">
      <c r="A4" s="12" t="s">
        <v>347</v>
      </c>
    </row>
    <row r="5" spans="1:13" x14ac:dyDescent="0.3">
      <c r="A5" s="43" t="s">
        <v>42</v>
      </c>
      <c r="B5" s="43" t="str">
        <f>INDEX(tblWidelki[Grupa],1)</f>
        <v>G1</v>
      </c>
      <c r="C5" s="43" t="str">
        <f>INDEX(tblWidelki[Grupa],2)</f>
        <v>G2</v>
      </c>
      <c r="D5" s="43" t="str">
        <f>INDEX(tblWidelki[Grupa],3)</f>
        <v>G3</v>
      </c>
      <c r="E5" s="43" t="str">
        <f>INDEX(tblWidelki[Grupa],4)</f>
        <v>G4</v>
      </c>
      <c r="F5" s="43" t="str">
        <f>INDEX(tblWidelki[Grupa],5)</f>
        <v>G5</v>
      </c>
      <c r="G5" s="43" t="str">
        <f>INDEX(tblWidelki[Grupa],6)</f>
        <v>G6</v>
      </c>
      <c r="H5" s="43" t="s">
        <v>316</v>
      </c>
    </row>
    <row r="6" spans="1:13" x14ac:dyDescent="0.3">
      <c r="A6" s="40" t="str">
        <f>Parametry!C31</f>
        <v>Kardiologia</v>
      </c>
      <c r="B6" s="19">
        <f>SUMIFS(tblKadry[Brutto_mies],tblKadry[Dział],$A6,tblKadry[Grupa],B$5,tblKadry[Aktywny_na_dzień],1)</f>
        <v>32320</v>
      </c>
      <c r="C6" s="19">
        <f>SUMIFS(tblKadry[Brutto_mies],tblKadry[Dział],$A6,tblKadry[Grupa],C$5,tblKadry[Aktywny_na_dzień],1)</f>
        <v>0</v>
      </c>
      <c r="D6" s="19">
        <f>SUMIFS(tblKadry[Brutto_mies],tblKadry[Dział],$A6,tblKadry[Grupa],D$5,tblKadry[Aktywny_na_dzień],1)</f>
        <v>159940</v>
      </c>
      <c r="E6" s="19">
        <f>SUMIFS(tblKadry[Brutto_mies],tblKadry[Dział],$A6,tblKadry[Grupa],E$5,tblKadry[Aktywny_na_dzień],1)</f>
        <v>25460</v>
      </c>
      <c r="F6" s="19">
        <f>SUMIFS(tblKadry[Brutto_mies],tblKadry[Dział],$A6,tblKadry[Grupa],F$5,tblKadry[Aktywny_na_dzień],1)</f>
        <v>93485</v>
      </c>
      <c r="G6" s="19">
        <f>SUMIFS(tblKadry[Brutto_mies],tblKadry[Dział],$A6,tblKadry[Grupa],G$5,tblKadry[Aktywny_na_dzień],1)</f>
        <v>273103</v>
      </c>
      <c r="H6" s="19">
        <f>SUM(B6:G6)</f>
        <v>584308</v>
      </c>
    </row>
    <row r="7" spans="1:13" x14ac:dyDescent="0.3">
      <c r="A7" s="40" t="str">
        <f>Parametry!C32</f>
        <v>Kardiochirurgia</v>
      </c>
      <c r="B7" s="19">
        <f>SUMIFS(tblKadry[Brutto_mies],tblKadry[Dział],$A7,tblKadry[Grupa],B$5,tblKadry[Aktywny_na_dzień],1)</f>
        <v>26910</v>
      </c>
      <c r="C7" s="19">
        <f>SUMIFS(tblKadry[Brutto_mies],tblKadry[Dział],$A7,tblKadry[Grupa],C$5,tblKadry[Aktywny_na_dzień],1)</f>
        <v>0</v>
      </c>
      <c r="D7" s="19">
        <f>SUMIFS(tblKadry[Brutto_mies],tblKadry[Dział],$A7,tblKadry[Grupa],D$5,tblKadry[Aktywny_na_dzień],1)</f>
        <v>110395</v>
      </c>
      <c r="E7" s="19">
        <f>SUMIFS(tblKadry[Brutto_mies],tblKadry[Dział],$A7,tblKadry[Grupa],E$5,tblKadry[Aktywny_na_dzień],1)</f>
        <v>31780</v>
      </c>
      <c r="F7" s="19">
        <f>SUMIFS(tblKadry[Brutto_mies],tblKadry[Dział],$A7,tblKadry[Grupa],F$5,tblKadry[Aktywny_na_dzień],1)</f>
        <v>59965</v>
      </c>
      <c r="G7" s="19">
        <f>SUMIFS(tblKadry[Brutto_mies],tblKadry[Dział],$A7,tblKadry[Grupa],G$5,tblKadry[Aktywny_na_dzień],1)</f>
        <v>137380</v>
      </c>
      <c r="H7" s="19">
        <f>SUM(B7:G7)</f>
        <v>366430</v>
      </c>
    </row>
    <row r="8" spans="1:13" x14ac:dyDescent="0.3">
      <c r="A8" s="40" t="str">
        <f>Parametry!C33</f>
        <v>Chirurgia naczyniowa</v>
      </c>
      <c r="B8" s="19">
        <f>SUMIFS(tblKadry[Brutto_mies],tblKadry[Dział],$A8,tblKadry[Grupa],B$5,tblKadry[Aktywny_na_dzień],1)</f>
        <v>27313</v>
      </c>
      <c r="C8" s="19">
        <f>SUMIFS(tblKadry[Brutto_mies],tblKadry[Dział],$A8,tblKadry[Grupa],C$5,tblKadry[Aktywny_na_dzień],1)</f>
        <v>0</v>
      </c>
      <c r="D8" s="19">
        <f>SUMIFS(tblKadry[Brutto_mies],tblKadry[Dział],$A8,tblKadry[Grupa],D$5,tblKadry[Aktywny_na_dzień],1)</f>
        <v>101525</v>
      </c>
      <c r="E8" s="19">
        <f>SUMIFS(tblKadry[Brutto_mies],tblKadry[Dział],$A8,tblKadry[Grupa],E$5,tblKadry[Aktywny_na_dzień],1)</f>
        <v>0</v>
      </c>
      <c r="F8" s="19">
        <f>SUMIFS(tblKadry[Brutto_mies],tblKadry[Dział],$A8,tblKadry[Grupa],F$5,tblKadry[Aktywny_na_dzień],1)</f>
        <v>46540</v>
      </c>
      <c r="G8" s="19">
        <f>SUMIFS(tblKadry[Brutto_mies],tblKadry[Dział],$A8,tblKadry[Grupa],G$5,tblKadry[Aktywny_na_dzień],1)</f>
        <v>123738</v>
      </c>
      <c r="H8" s="19">
        <f>SUM(B8:G8)</f>
        <v>299116</v>
      </c>
    </row>
    <row r="9" spans="1:13" x14ac:dyDescent="0.3">
      <c r="A9" s="40" t="str">
        <f>Parametry!C34</f>
        <v>Laboratorium</v>
      </c>
      <c r="B9" s="19">
        <f>SUMIFS(tblKadry[Brutto_mies],tblKadry[Dział],$A9,tblKadry[Grupa],B$5,tblKadry[Aktywny_na_dzień],1)</f>
        <v>0</v>
      </c>
      <c r="C9" s="19">
        <f>SUMIFS(tblKadry[Brutto_mies],tblKadry[Dział],$A9,tblKadry[Grupa],C$5,tblKadry[Aktywny_na_dzień],1)</f>
        <v>36245</v>
      </c>
      <c r="D9" s="19">
        <f>SUMIFS(tblKadry[Brutto_mies],tblKadry[Dział],$A9,tblKadry[Grupa],D$5,tblKadry[Aktywny_na_dzień],1)</f>
        <v>73445</v>
      </c>
      <c r="E9" s="19">
        <f>SUMIFS(tblKadry[Brutto_mies],tblKadry[Dział],$A9,tblKadry[Grupa],E$5,tblKadry[Aktywny_na_dzień],1)</f>
        <v>50250</v>
      </c>
      <c r="F9" s="19">
        <f>SUMIFS(tblKadry[Brutto_mies],tblKadry[Dział],$A9,tblKadry[Grupa],F$5,tblKadry[Aktywny_na_dzień],1)</f>
        <v>0</v>
      </c>
      <c r="G9" s="19">
        <f>SUMIFS(tblKadry[Brutto_mies],tblKadry[Dział],$A9,tblKadry[Grupa],G$5,tblKadry[Aktywny_na_dzień],1)</f>
        <v>0</v>
      </c>
      <c r="H9" s="19">
        <f>SUM(B9:G9)</f>
        <v>159940</v>
      </c>
    </row>
    <row r="10" spans="1:13" x14ac:dyDescent="0.3">
      <c r="A10" s="40" t="str">
        <f>Parametry!C35</f>
        <v>Administracja</v>
      </c>
      <c r="B10" s="19">
        <f>SUMIFS(tblKadry[Brutto_mies],tblKadry[Dział],$A10,tblKadry[Grupa],B$5,tblKadry[Aktywny_na_dzień],1)</f>
        <v>44005</v>
      </c>
      <c r="C10" s="19">
        <f>SUMIFS(tblKadry[Brutto_mies],tblKadry[Dział],$A10,tblKadry[Grupa],C$5,tblKadry[Aktywny_na_dzień],1)</f>
        <v>47830</v>
      </c>
      <c r="D10" s="19">
        <f>SUMIFS(tblKadry[Brutto_mies],tblKadry[Dział],$A10,tblKadry[Grupa],D$5,tblKadry[Aktywny_na_dzień],1)</f>
        <v>68820</v>
      </c>
      <c r="E10" s="19">
        <f>SUMIFS(tblKadry[Brutto_mies],tblKadry[Dział],$A10,tblKadry[Grupa],E$5,tblKadry[Aktywny_na_dzień],1)</f>
        <v>51930</v>
      </c>
      <c r="F10" s="19">
        <f>SUMIFS(tblKadry[Brutto_mies],tblKadry[Dział],$A10,tblKadry[Grupa],F$5,tblKadry[Aktywny_na_dzień],1)</f>
        <v>0</v>
      </c>
      <c r="G10" s="19">
        <f>SUMIFS(tblKadry[Brutto_mies],tblKadry[Dział],$A10,tblKadry[Grupa],G$5,tblKadry[Aktywny_na_dzień],1)</f>
        <v>0</v>
      </c>
      <c r="H10" s="19">
        <f>SUM(B10:G10)</f>
        <v>212585</v>
      </c>
    </row>
    <row r="11" spans="1:13" x14ac:dyDescent="0.3">
      <c r="A11" s="1" t="s">
        <v>318</v>
      </c>
      <c r="B11" s="19">
        <f>SUMIFS(tblKadry[Brutto_mies],tblKadry[Grupa],B$5,tblKadry[Aktywny_na_dzień],1)-SUM(B6:B10)</f>
        <v>0</v>
      </c>
      <c r="C11" s="19">
        <f>SUMIFS(tblKadry[Brutto_mies],tblKadry[Grupa],C$5,tblKadry[Aktywny_na_dzień],1)-SUM(C6:C10)</f>
        <v>0</v>
      </c>
      <c r="D11" s="19">
        <f>SUMIFS(tblKadry[Brutto_mies],tblKadry[Grupa],D$5,tblKadry[Aktywny_na_dzień],1)-SUM(D6:D10)</f>
        <v>8640</v>
      </c>
      <c r="E11" s="19">
        <f>SUMIFS(tblKadry[Brutto_mies],tblKadry[Grupa],E$5,tblKadry[Aktywny_na_dzień],1)-SUM(E6:E10)</f>
        <v>0</v>
      </c>
      <c r="F11" s="19">
        <f>SUMIFS(tblKadry[Brutto_mies],tblKadry[Grupa],F$5,tblKadry[Aktywny_na_dzień],1)-SUM(F6:F10)</f>
        <v>0</v>
      </c>
      <c r="G11" s="19">
        <f>SUMIFS(tblKadry[Brutto_mies],tblKadry[Grupa],G$5,tblKadry[Aktywny_na_dzień],1)-SUM(G6:G10)</f>
        <v>0</v>
      </c>
      <c r="H11" s="19">
        <f>SUM(B11:G11)</f>
        <v>8640</v>
      </c>
    </row>
    <row r="12" spans="1:13" x14ac:dyDescent="0.3">
      <c r="A12" s="44" t="s">
        <v>316</v>
      </c>
      <c r="B12" s="45">
        <f>SUM(B6:B11)</f>
        <v>130548</v>
      </c>
      <c r="C12" s="45">
        <f>SUM(C6:C11)</f>
        <v>84075</v>
      </c>
      <c r="D12" s="45">
        <f>SUM(D6:D11)</f>
        <v>522765</v>
      </c>
      <c r="E12" s="45">
        <f>SUM(E6:E11)</f>
        <v>159420</v>
      </c>
      <c r="F12" s="45">
        <f>SUM(F6:F11)</f>
        <v>199990</v>
      </c>
      <c r="G12" s="45">
        <f>SUM(G6:G11)</f>
        <v>534221</v>
      </c>
      <c r="H12" s="45">
        <f>SUM(H6:H11)</f>
        <v>1631019</v>
      </c>
    </row>
    <row r="13" spans="1:13" x14ac:dyDescent="0.3">
      <c r="A13" s="16" t="s">
        <v>23</v>
      </c>
      <c r="B13" s="56">
        <f>_xlfn.XLOOKUP(B$5,tblWidelki[Grupa],tblWidelki[Podwyżka 2027 %])</f>
        <v>0.06</v>
      </c>
      <c r="C13" s="56">
        <f>_xlfn.XLOOKUP(C$5,tblWidelki[Grupa],tblWidelki[Podwyżka 2027 %])</f>
        <v>0.05</v>
      </c>
      <c r="D13" s="56">
        <f>_xlfn.XLOOKUP(D$5,tblWidelki[Grupa],tblWidelki[Podwyżka 2027 %])</f>
        <v>0.05</v>
      </c>
      <c r="E13" s="56">
        <f>_xlfn.XLOOKUP(E$5,tblWidelki[Grupa],tblWidelki[Podwyżka 2027 %])</f>
        <v>0.04</v>
      </c>
      <c r="F13" s="56">
        <f>_xlfn.XLOOKUP(F$5,tblWidelki[Grupa],tblWidelki[Podwyżka 2027 %])</f>
        <v>0.04</v>
      </c>
      <c r="G13" s="56">
        <f>_xlfn.XLOOKUP(G$5,tblWidelki[Grupa],tblWidelki[Podwyżka 2027 %])</f>
        <v>0.03</v>
      </c>
      <c r="H13" s="55">
        <f>IFERROR(SUMPRODUCT(B12:G12,B13:G13)/H12,0)</f>
        <v>4.2046052191911931E-2</v>
      </c>
    </row>
    <row r="15" spans="1:13" x14ac:dyDescent="0.3">
      <c r="A15" s="12" t="s">
        <v>348</v>
      </c>
    </row>
    <row r="16" spans="1:13" ht="30" customHeight="1" x14ac:dyDescent="0.3">
      <c r="A16" s="43" t="s">
        <v>42</v>
      </c>
      <c r="B16" s="43" t="s">
        <v>349</v>
      </c>
      <c r="C16" s="43" t="s">
        <v>350</v>
      </c>
      <c r="D16" s="43" t="s">
        <v>351</v>
      </c>
      <c r="E16" s="43" t="s">
        <v>352</v>
      </c>
      <c r="F16" s="43" t="s">
        <v>353</v>
      </c>
      <c r="G16" s="43" t="s">
        <v>354</v>
      </c>
      <c r="H16" s="43" t="s">
        <v>355</v>
      </c>
      <c r="I16" s="43" t="s">
        <v>356</v>
      </c>
      <c r="J16" s="43" t="s">
        <v>357</v>
      </c>
      <c r="K16" s="43" t="s">
        <v>358</v>
      </c>
      <c r="L16" s="43" t="s">
        <v>359</v>
      </c>
      <c r="M16" s="43" t="s">
        <v>360</v>
      </c>
    </row>
    <row r="17" spans="1:13" x14ac:dyDescent="0.3">
      <c r="A17" s="1" t="str">
        <f>A6</f>
        <v>Kardiologia</v>
      </c>
      <c r="B17" s="18">
        <f>SUMIFS(tblKadry[Etat],tblKadry[Dział],$A17,tblKadry[Aktywny_na_dzień],1)</f>
        <v>47.25</v>
      </c>
      <c r="C17" s="19">
        <f>H6*12</f>
        <v>7011696</v>
      </c>
      <c r="D17" s="19">
        <f>SUMPRODUCT(B6:G6,$B$13:$G$13)*12</f>
        <v>274645.08</v>
      </c>
      <c r="E17" s="60">
        <v>2</v>
      </c>
      <c r="F17" s="61">
        <v>6</v>
      </c>
      <c r="G17" s="19">
        <f>IFERROR(E17*F17*(C17+D17)/12/B17,0)</f>
        <v>154208.27682539684</v>
      </c>
      <c r="H17" s="19">
        <f>C17+D17+G17</f>
        <v>7440549.3568253973</v>
      </c>
      <c r="I17" s="19">
        <f>H17*pNarzut</f>
        <v>1635432.7486302224</v>
      </c>
      <c r="J17" s="19">
        <f>H17+I17</f>
        <v>9075982.1054556202</v>
      </c>
      <c r="K17" s="19">
        <f>C17*(1+pNarzut)</f>
        <v>8552866.7807999998</v>
      </c>
      <c r="L17" s="19">
        <f>J17-K17</f>
        <v>523115.32465562038</v>
      </c>
      <c r="M17" s="14">
        <f>IFERROR(L17/K17,0)</f>
        <v>6.1162571341569563E-2</v>
      </c>
    </row>
    <row r="18" spans="1:13" x14ac:dyDescent="0.3">
      <c r="A18" s="1" t="str">
        <f>A7</f>
        <v>Kardiochirurgia</v>
      </c>
      <c r="B18" s="18">
        <f>SUMIFS(tblKadry[Etat],tblKadry[Dział],$A18,tblKadry[Aktywny_na_dzień],1)</f>
        <v>31.75</v>
      </c>
      <c r="C18" s="19">
        <f>H7*12</f>
        <v>4397160</v>
      </c>
      <c r="D18" s="19">
        <f>SUMPRODUCT(B7:G7,$B$13:$G$13)*12</f>
        <v>179106.6</v>
      </c>
      <c r="E18" s="60">
        <v>1</v>
      </c>
      <c r="F18" s="61">
        <v>6</v>
      </c>
      <c r="G18" s="19">
        <f>IFERROR(E18*F18*(C18+D18)/12/B18,0)</f>
        <v>72067.190551181091</v>
      </c>
      <c r="H18" s="19">
        <f>C18+D18+G18</f>
        <v>4648333.790551181</v>
      </c>
      <c r="I18" s="19">
        <f>H18*pNarzut</f>
        <v>1021703.7671631495</v>
      </c>
      <c r="J18" s="19">
        <f>H18+I18</f>
        <v>5670037.55771433</v>
      </c>
      <c r="K18" s="19">
        <f>C18*(1+pNarzut)</f>
        <v>5363655.7680000002</v>
      </c>
      <c r="L18" s="19">
        <f>J18-K18</f>
        <v>306381.78971432988</v>
      </c>
      <c r="M18" s="14">
        <f>IFERROR(L18/K18,0)</f>
        <v>5.7121821937609826E-2</v>
      </c>
    </row>
    <row r="19" spans="1:13" x14ac:dyDescent="0.3">
      <c r="A19" s="1" t="str">
        <f>A8</f>
        <v>Chirurgia naczyniowa</v>
      </c>
      <c r="B19" s="18">
        <f>SUMIFS(tblKadry[Etat],tblKadry[Dział],$A19,tblKadry[Aktywny_na_dzień],1)</f>
        <v>26.25</v>
      </c>
      <c r="C19" s="19">
        <f>H8*12</f>
        <v>3589392</v>
      </c>
      <c r="D19" s="19">
        <f>SUMPRODUCT(B8:G8,$B$13:$G$13)*12</f>
        <v>147465.24</v>
      </c>
      <c r="E19" s="60">
        <v>1</v>
      </c>
      <c r="F19" s="61">
        <v>9</v>
      </c>
      <c r="G19" s="19">
        <f>IFERROR(E19*F19*(C19+D19)/12/B19,0)</f>
        <v>106767.34971428572</v>
      </c>
      <c r="H19" s="19">
        <f>C19+D19+G19</f>
        <v>3843624.5897142859</v>
      </c>
      <c r="I19" s="19">
        <f>H19*pNarzut</f>
        <v>844828.68481920008</v>
      </c>
      <c r="J19" s="19">
        <f>H19+I19</f>
        <v>4688453.274533486</v>
      </c>
      <c r="K19" s="19">
        <f>C19*(1+pNarzut)</f>
        <v>4378340.3616000004</v>
      </c>
      <c r="L19" s="19">
        <f>J19-K19</f>
        <v>310112.91293348558</v>
      </c>
      <c r="M19" s="14">
        <f>IFERROR(L19/K19,0)</f>
        <v>7.0828872888301295E-2</v>
      </c>
    </row>
    <row r="20" spans="1:13" x14ac:dyDescent="0.3">
      <c r="A20" s="1" t="str">
        <f>A9</f>
        <v>Laboratorium</v>
      </c>
      <c r="B20" s="18">
        <f>SUMIFS(tblKadry[Etat],tblKadry[Dział],$A20,tblKadry[Aktywny_na_dzień],1)</f>
        <v>19</v>
      </c>
      <c r="C20" s="19">
        <f>H9*12</f>
        <v>1919280</v>
      </c>
      <c r="D20" s="19">
        <f>SUMPRODUCT(B9:G9,$B$13:$G$13)*12</f>
        <v>89934</v>
      </c>
      <c r="E20" s="60">
        <v>0</v>
      </c>
      <c r="F20" s="61">
        <v>0</v>
      </c>
      <c r="G20" s="19">
        <f>IFERROR(E20*F20*(C20+D20)/12/B20,0)</f>
        <v>0</v>
      </c>
      <c r="H20" s="19">
        <f>C20+D20+G20</f>
        <v>2009214</v>
      </c>
      <c r="I20" s="19">
        <f>H20*pNarzut</f>
        <v>441625.23719999997</v>
      </c>
      <c r="J20" s="19">
        <f>H20+I20</f>
        <v>2450839.2371999999</v>
      </c>
      <c r="K20" s="19">
        <f>C20*(1+pNarzut)</f>
        <v>2341137.7439999999</v>
      </c>
      <c r="L20" s="19">
        <f>J20-K20</f>
        <v>109701.49319999991</v>
      </c>
      <c r="M20" s="14">
        <f>IFERROR(L20/K20,0)</f>
        <v>4.6858196823808894E-2</v>
      </c>
    </row>
    <row r="21" spans="1:13" x14ac:dyDescent="0.3">
      <c r="A21" s="1" t="str">
        <f>A10</f>
        <v>Administracja</v>
      </c>
      <c r="B21" s="18">
        <f>SUMIFS(tblKadry[Etat],tblKadry[Dział],$A21,tblKadry[Aktywny_na_dzień],1)</f>
        <v>28.5</v>
      </c>
      <c r="C21" s="19">
        <f>H10*12</f>
        <v>2551020</v>
      </c>
      <c r="D21" s="19">
        <f>SUMPRODUCT(B10:G10,$B$13:$G$13)*12</f>
        <v>126600</v>
      </c>
      <c r="E21" s="60">
        <v>0</v>
      </c>
      <c r="F21" s="61">
        <v>0</v>
      </c>
      <c r="G21" s="19">
        <f>IFERROR(E21*F21*(C21+D21)/12/B21,0)</f>
        <v>0</v>
      </c>
      <c r="H21" s="19">
        <f>C21+D21+G21</f>
        <v>2677620</v>
      </c>
      <c r="I21" s="19">
        <f>H21*pNarzut</f>
        <v>588540.87599999993</v>
      </c>
      <c r="J21" s="19">
        <f>H21+I21</f>
        <v>3266160.8760000002</v>
      </c>
      <c r="K21" s="19">
        <f>C21*(1+pNarzut)</f>
        <v>3111734.196</v>
      </c>
      <c r="L21" s="19">
        <f>J21-K21</f>
        <v>154426.68000000017</v>
      </c>
      <c r="M21" s="14">
        <f>IFERROR(L21/K21,0)</f>
        <v>4.9627207940353323E-2</v>
      </c>
    </row>
    <row r="22" spans="1:13" x14ac:dyDescent="0.3">
      <c r="A22" s="1" t="s">
        <v>318</v>
      </c>
      <c r="B22" s="18">
        <f>SUMIFS(tblKadry[Etat],tblKadry[Dział],"",tblKadry[Aktywny_na_dzień],1)</f>
        <v>1</v>
      </c>
      <c r="C22" s="19">
        <f>H11*12</f>
        <v>103680</v>
      </c>
      <c r="D22" s="19">
        <f>SUMPRODUCT(B11:G11,$B$13:$G$13)*12</f>
        <v>5184</v>
      </c>
      <c r="E22" s="20">
        <v>0</v>
      </c>
      <c r="F22" s="21">
        <v>0</v>
      </c>
      <c r="G22" s="19">
        <f>IFERROR(E22*F22*(C22+D22)/12/B22,0)</f>
        <v>0</v>
      </c>
      <c r="H22" s="19">
        <f>C22+D22+G22</f>
        <v>108864</v>
      </c>
      <c r="I22" s="19">
        <f>H22*pNarzut</f>
        <v>23928.307199999999</v>
      </c>
      <c r="J22" s="19">
        <f>H22+I22</f>
        <v>132792.30720000001</v>
      </c>
      <c r="K22" s="19">
        <f>C22*(1+pNarzut)</f>
        <v>126468.864</v>
      </c>
      <c r="L22" s="19">
        <f>J22-K22</f>
        <v>6323.4432000000088</v>
      </c>
      <c r="M22" s="14">
        <f>IFERROR(L22/K22,0)</f>
        <v>5.0000000000000072E-2</v>
      </c>
    </row>
    <row r="23" spans="1:13" x14ac:dyDescent="0.3">
      <c r="A23" s="44" t="s">
        <v>316</v>
      </c>
      <c r="B23" s="46">
        <f>SUM(B17:B22)</f>
        <v>153.75</v>
      </c>
      <c r="C23" s="45">
        <f>SUM(C17:C22)</f>
        <v>19572228</v>
      </c>
      <c r="D23" s="45">
        <f>SUM(D17:D22)</f>
        <v>822934.92</v>
      </c>
      <c r="E23" s="57">
        <f>SUM(E17:E22)</f>
        <v>4</v>
      </c>
      <c r="F23" s="58"/>
      <c r="G23" s="45">
        <f>SUM(G17:G22)</f>
        <v>333042.81709086365</v>
      </c>
      <c r="H23" s="45">
        <f>SUM(H17:H22)</f>
        <v>20728205.737090863</v>
      </c>
      <c r="I23" s="45">
        <f>SUM(I17:I22)</f>
        <v>4556059.6210125713</v>
      </c>
      <c r="J23" s="45">
        <f>SUM(J17:J22)</f>
        <v>25284265.358103439</v>
      </c>
      <c r="K23" s="45">
        <f>SUM(K17:K22)</f>
        <v>23874203.714399997</v>
      </c>
      <c r="L23" s="45">
        <f>SUM(L17:L22)</f>
        <v>1410061.643703436</v>
      </c>
      <c r="M23" s="59">
        <f>IFERROR(L23/K23,0)</f>
        <v>5.9062143415193419E-2</v>
      </c>
    </row>
    <row r="24" spans="1:13" x14ac:dyDescent="0.3">
      <c r="A24" s="16" t="s">
        <v>361</v>
      </c>
      <c r="B24" s="42">
        <f>ROUND(K23-Koszty_Pracy!G10,2)</f>
        <v>0</v>
      </c>
    </row>
    <row r="26" spans="1:13" x14ac:dyDescent="0.3">
      <c r="A26" s="12" t="s">
        <v>362</v>
      </c>
    </row>
    <row r="27" spans="1:13" x14ac:dyDescent="0.3">
      <c r="A27" s="1" t="s">
        <v>358</v>
      </c>
      <c r="B27" s="19">
        <f>K23</f>
        <v>23874203.714399997</v>
      </c>
    </row>
    <row r="28" spans="1:13" x14ac:dyDescent="0.3">
      <c r="A28" s="1" t="s">
        <v>363</v>
      </c>
      <c r="B28" s="19">
        <f>D23*(1+pNarzut)</f>
        <v>1003816.015416</v>
      </c>
    </row>
    <row r="29" spans="1:13" x14ac:dyDescent="0.3">
      <c r="A29" s="1" t="s">
        <v>364</v>
      </c>
      <c r="B29" s="19">
        <f>G23*(1+pNarzut)</f>
        <v>406245.62828743551</v>
      </c>
    </row>
    <row r="30" spans="1:13" x14ac:dyDescent="0.3">
      <c r="A30" s="44" t="s">
        <v>357</v>
      </c>
      <c r="B30" s="45">
        <f>SUM(B27:B29)</f>
        <v>25284265.358103432</v>
      </c>
    </row>
    <row r="31" spans="1:13" x14ac:dyDescent="0.3">
      <c r="A31" s="16" t="s">
        <v>365</v>
      </c>
      <c r="B31" s="42">
        <f>ROUND(B30-J23,2)</f>
        <v>0</v>
      </c>
    </row>
  </sheetData>
  <conditionalFormatting sqref="B24">
    <cfRule type="expression" dxfId="3" priority="1">
      <formula>ABS(B24)&lt;=0.5</formula>
    </cfRule>
  </conditionalFormatting>
  <conditionalFormatting sqref="B24">
    <cfRule type="expression" dxfId="2" priority="2">
      <formula>ABS(B24)&gt;0.5</formula>
    </cfRule>
  </conditionalFormatting>
  <conditionalFormatting sqref="B31">
    <cfRule type="expression" dxfId="1" priority="3">
      <formula>ABS(B31)&lt;=0.5</formula>
    </cfRule>
  </conditionalFormatting>
  <conditionalFormatting sqref="B31">
    <cfRule type="expression" dxfId="0" priority="4">
      <formula>ABS(B31)&gt;0.5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Nazwane zakresy</vt:lpstr>
      </vt:variant>
      <vt:variant>
        <vt:i4>7</vt:i4>
      </vt:variant>
    </vt:vector>
  </HeadingPairs>
  <TitlesOfParts>
    <vt:vector size="18" baseType="lpstr">
      <vt:lpstr>O projekcie</vt:lpstr>
      <vt:lpstr>Arkusz2</vt:lpstr>
      <vt:lpstr>Arkusz3</vt:lpstr>
      <vt:lpstr>Arkusz4</vt:lpstr>
      <vt:lpstr>Dashboard</vt:lpstr>
      <vt:lpstr>Parametry</vt:lpstr>
      <vt:lpstr>Dane_Kadrowe</vt:lpstr>
      <vt:lpstr>Kontrola_Jakości</vt:lpstr>
      <vt:lpstr>Koszty_Pracy</vt:lpstr>
      <vt:lpstr>Przegląd_Wynagrodzeń</vt:lpstr>
      <vt:lpstr>Budżet_2027</vt:lpstr>
      <vt:lpstr>dFiltr</vt:lpstr>
      <vt:lpstr>lstDzialy</vt:lpstr>
      <vt:lpstr>lstFiltr</vt:lpstr>
      <vt:lpstr>lstPlacowki</vt:lpstr>
      <vt:lpstr>pDataRaportu</vt:lpstr>
      <vt:lpstr>pNarzut</vt:lpstr>
      <vt:lpstr>pPlacaMin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Radosław Wojaczek</dc:creator>
  <cp:lastModifiedBy>Radosław Wojaczek</cp:lastModifiedBy>
  <dcterms:created xsi:type="dcterms:W3CDTF">2026-10-02T10:08:29Z</dcterms:created>
  <dcterms:modified xsi:type="dcterms:W3CDTF">2026-10-02T12:17:57Z</dcterms:modified>
</cp:coreProperties>
</file>